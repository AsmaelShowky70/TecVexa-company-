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mael\Desktop\"/>
    </mc:Choice>
  </mc:AlternateContent>
  <xr:revisionPtr revIDLastSave="0" documentId="13_ncr:1_{D66A21C5-0BD2-438F-909B-9DCDA15A79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Settings" sheetId="2" r:id="rId2"/>
    <sheet name="Revenues" sheetId="3" r:id="rId3"/>
    <sheet name="Expenses" sheetId="4" r:id="rId4"/>
    <sheet name="Capital" sheetId="5" r:id="rId5"/>
    <sheet name="Charity" sheetId="6" r:id="rId6"/>
    <sheet name="Monthly" sheetId="7" r:id="rId7"/>
  </sheets>
  <calcPr calcId="191029"/>
</workbook>
</file>

<file path=xl/calcChain.xml><?xml version="1.0" encoding="utf-8"?>
<calcChain xmlns="http://schemas.openxmlformats.org/spreadsheetml/2006/main">
  <c r="B4" i="7" l="1"/>
  <c r="H15" i="7"/>
  <c r="C15" i="7"/>
  <c r="B15" i="7"/>
  <c r="H14" i="7"/>
  <c r="C14" i="7"/>
  <c r="D14" i="7" s="1"/>
  <c r="I14" i="7" s="1"/>
  <c r="B14" i="7"/>
  <c r="H13" i="7"/>
  <c r="C13" i="7"/>
  <c r="D13" i="7" s="1"/>
  <c r="I13" i="7" s="1"/>
  <c r="B13" i="7"/>
  <c r="H12" i="7"/>
  <c r="C12" i="7"/>
  <c r="D12" i="7" s="1"/>
  <c r="I12" i="7" s="1"/>
  <c r="B12" i="7"/>
  <c r="H11" i="7"/>
  <c r="C11" i="7"/>
  <c r="D11" i="7" s="1"/>
  <c r="I11" i="7" s="1"/>
  <c r="B11" i="7"/>
  <c r="H10" i="7"/>
  <c r="C10" i="7"/>
  <c r="D10" i="7" s="1"/>
  <c r="I10" i="7" s="1"/>
  <c r="B10" i="7"/>
  <c r="H9" i="7"/>
  <c r="C9" i="7"/>
  <c r="D9" i="7" s="1"/>
  <c r="I9" i="7" s="1"/>
  <c r="B9" i="7"/>
  <c r="H8" i="7"/>
  <c r="C8" i="7"/>
  <c r="D8" i="7" s="1"/>
  <c r="I8" i="7" s="1"/>
  <c r="B8" i="7"/>
  <c r="H7" i="7"/>
  <c r="C7" i="7"/>
  <c r="D7" i="7" s="1"/>
  <c r="I7" i="7" s="1"/>
  <c r="B7" i="7"/>
  <c r="H6" i="7"/>
  <c r="C6" i="7"/>
  <c r="D6" i="7" s="1"/>
  <c r="I6" i="7" s="1"/>
  <c r="B6" i="7"/>
  <c r="H5" i="7"/>
  <c r="C5" i="7"/>
  <c r="D5" i="7" s="1"/>
  <c r="I5" i="7" s="1"/>
  <c r="B5" i="7"/>
  <c r="H4" i="7"/>
  <c r="C4" i="7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L203" i="3"/>
  <c r="H203" i="3"/>
  <c r="L202" i="3"/>
  <c r="H202" i="3"/>
  <c r="L201" i="3"/>
  <c r="H201" i="3"/>
  <c r="L200" i="3"/>
  <c r="H200" i="3"/>
  <c r="L199" i="3"/>
  <c r="H199" i="3"/>
  <c r="L198" i="3"/>
  <c r="H198" i="3"/>
  <c r="L197" i="3"/>
  <c r="H197" i="3"/>
  <c r="L196" i="3"/>
  <c r="H196" i="3"/>
  <c r="L195" i="3"/>
  <c r="H195" i="3"/>
  <c r="L194" i="3"/>
  <c r="H194" i="3"/>
  <c r="L193" i="3"/>
  <c r="H193" i="3"/>
  <c r="L192" i="3"/>
  <c r="H192" i="3"/>
  <c r="L191" i="3"/>
  <c r="H191" i="3"/>
  <c r="L190" i="3"/>
  <c r="H190" i="3"/>
  <c r="L189" i="3"/>
  <c r="H189" i="3"/>
  <c r="L188" i="3"/>
  <c r="H188" i="3"/>
  <c r="L187" i="3"/>
  <c r="H187" i="3"/>
  <c r="L186" i="3"/>
  <c r="H186" i="3"/>
  <c r="L185" i="3"/>
  <c r="H185" i="3"/>
  <c r="L184" i="3"/>
  <c r="H184" i="3"/>
  <c r="L183" i="3"/>
  <c r="H183" i="3"/>
  <c r="L182" i="3"/>
  <c r="H182" i="3"/>
  <c r="L181" i="3"/>
  <c r="H181" i="3"/>
  <c r="L180" i="3"/>
  <c r="H180" i="3"/>
  <c r="L179" i="3"/>
  <c r="H179" i="3"/>
  <c r="L178" i="3"/>
  <c r="H178" i="3"/>
  <c r="L177" i="3"/>
  <c r="H177" i="3"/>
  <c r="L176" i="3"/>
  <c r="H176" i="3"/>
  <c r="L175" i="3"/>
  <c r="H175" i="3"/>
  <c r="L174" i="3"/>
  <c r="H174" i="3"/>
  <c r="L173" i="3"/>
  <c r="H173" i="3"/>
  <c r="L172" i="3"/>
  <c r="H172" i="3"/>
  <c r="L171" i="3"/>
  <c r="H171" i="3"/>
  <c r="L170" i="3"/>
  <c r="H170" i="3"/>
  <c r="L169" i="3"/>
  <c r="H169" i="3"/>
  <c r="L168" i="3"/>
  <c r="H168" i="3"/>
  <c r="L167" i="3"/>
  <c r="H167" i="3"/>
  <c r="L166" i="3"/>
  <c r="H166" i="3"/>
  <c r="L165" i="3"/>
  <c r="H165" i="3"/>
  <c r="L164" i="3"/>
  <c r="H164" i="3"/>
  <c r="L163" i="3"/>
  <c r="H163" i="3"/>
  <c r="L162" i="3"/>
  <c r="H162" i="3"/>
  <c r="L161" i="3"/>
  <c r="H161" i="3"/>
  <c r="L160" i="3"/>
  <c r="H160" i="3"/>
  <c r="L159" i="3"/>
  <c r="H159" i="3"/>
  <c r="L158" i="3"/>
  <c r="H158" i="3"/>
  <c r="L157" i="3"/>
  <c r="H157" i="3"/>
  <c r="L156" i="3"/>
  <c r="H156" i="3"/>
  <c r="L155" i="3"/>
  <c r="H155" i="3"/>
  <c r="L154" i="3"/>
  <c r="H154" i="3"/>
  <c r="L153" i="3"/>
  <c r="H153" i="3"/>
  <c r="L152" i="3"/>
  <c r="H152" i="3"/>
  <c r="L151" i="3"/>
  <c r="H151" i="3"/>
  <c r="L150" i="3"/>
  <c r="H150" i="3"/>
  <c r="L149" i="3"/>
  <c r="H149" i="3"/>
  <c r="L148" i="3"/>
  <c r="H148" i="3"/>
  <c r="L147" i="3"/>
  <c r="H147" i="3"/>
  <c r="L146" i="3"/>
  <c r="H146" i="3"/>
  <c r="L145" i="3"/>
  <c r="H145" i="3"/>
  <c r="L144" i="3"/>
  <c r="H144" i="3"/>
  <c r="L143" i="3"/>
  <c r="H143" i="3"/>
  <c r="L142" i="3"/>
  <c r="H142" i="3"/>
  <c r="L141" i="3"/>
  <c r="H141" i="3"/>
  <c r="L140" i="3"/>
  <c r="H140" i="3"/>
  <c r="L139" i="3"/>
  <c r="H139" i="3"/>
  <c r="L138" i="3"/>
  <c r="H138" i="3"/>
  <c r="L137" i="3"/>
  <c r="H137" i="3"/>
  <c r="L136" i="3"/>
  <c r="H136" i="3"/>
  <c r="L135" i="3"/>
  <c r="H135" i="3"/>
  <c r="L134" i="3"/>
  <c r="H134" i="3"/>
  <c r="L133" i="3"/>
  <c r="H133" i="3"/>
  <c r="L132" i="3"/>
  <c r="H132" i="3"/>
  <c r="L131" i="3"/>
  <c r="H131" i="3"/>
  <c r="L130" i="3"/>
  <c r="H130" i="3"/>
  <c r="L129" i="3"/>
  <c r="H129" i="3"/>
  <c r="L128" i="3"/>
  <c r="H128" i="3"/>
  <c r="L127" i="3"/>
  <c r="H127" i="3"/>
  <c r="L126" i="3"/>
  <c r="H126" i="3"/>
  <c r="L125" i="3"/>
  <c r="H125" i="3"/>
  <c r="L124" i="3"/>
  <c r="H124" i="3"/>
  <c r="L123" i="3"/>
  <c r="H123" i="3"/>
  <c r="L122" i="3"/>
  <c r="H122" i="3"/>
  <c r="L121" i="3"/>
  <c r="H121" i="3"/>
  <c r="L120" i="3"/>
  <c r="H120" i="3"/>
  <c r="L119" i="3"/>
  <c r="H119" i="3"/>
  <c r="L118" i="3"/>
  <c r="H118" i="3"/>
  <c r="L117" i="3"/>
  <c r="H117" i="3"/>
  <c r="L116" i="3"/>
  <c r="H116" i="3"/>
  <c r="L115" i="3"/>
  <c r="H115" i="3"/>
  <c r="L114" i="3"/>
  <c r="H114" i="3"/>
  <c r="L113" i="3"/>
  <c r="H113" i="3"/>
  <c r="L112" i="3"/>
  <c r="H112" i="3"/>
  <c r="L111" i="3"/>
  <c r="H111" i="3"/>
  <c r="L110" i="3"/>
  <c r="H110" i="3"/>
  <c r="L109" i="3"/>
  <c r="H109" i="3"/>
  <c r="L108" i="3"/>
  <c r="H108" i="3"/>
  <c r="L107" i="3"/>
  <c r="H107" i="3"/>
  <c r="L106" i="3"/>
  <c r="H106" i="3"/>
  <c r="L105" i="3"/>
  <c r="H105" i="3"/>
  <c r="L104" i="3"/>
  <c r="H104" i="3"/>
  <c r="L103" i="3"/>
  <c r="H103" i="3"/>
  <c r="L102" i="3"/>
  <c r="H102" i="3"/>
  <c r="L101" i="3"/>
  <c r="H101" i="3"/>
  <c r="L100" i="3"/>
  <c r="H100" i="3"/>
  <c r="L99" i="3"/>
  <c r="H99" i="3"/>
  <c r="L98" i="3"/>
  <c r="H98" i="3"/>
  <c r="L97" i="3"/>
  <c r="H97" i="3"/>
  <c r="L96" i="3"/>
  <c r="H96" i="3"/>
  <c r="L95" i="3"/>
  <c r="H95" i="3"/>
  <c r="L94" i="3"/>
  <c r="H94" i="3"/>
  <c r="L93" i="3"/>
  <c r="H93" i="3"/>
  <c r="L92" i="3"/>
  <c r="H92" i="3"/>
  <c r="L91" i="3"/>
  <c r="H91" i="3"/>
  <c r="L90" i="3"/>
  <c r="H90" i="3"/>
  <c r="L89" i="3"/>
  <c r="H89" i="3"/>
  <c r="L88" i="3"/>
  <c r="H88" i="3"/>
  <c r="L87" i="3"/>
  <c r="H87" i="3"/>
  <c r="L86" i="3"/>
  <c r="H86" i="3"/>
  <c r="L85" i="3"/>
  <c r="H85" i="3"/>
  <c r="L84" i="3"/>
  <c r="H84" i="3"/>
  <c r="L83" i="3"/>
  <c r="H83" i="3"/>
  <c r="L82" i="3"/>
  <c r="H82" i="3"/>
  <c r="L81" i="3"/>
  <c r="H81" i="3"/>
  <c r="L80" i="3"/>
  <c r="H80" i="3"/>
  <c r="L79" i="3"/>
  <c r="H79" i="3"/>
  <c r="L78" i="3"/>
  <c r="H78" i="3"/>
  <c r="L77" i="3"/>
  <c r="H77" i="3"/>
  <c r="L76" i="3"/>
  <c r="H76" i="3"/>
  <c r="L75" i="3"/>
  <c r="H75" i="3"/>
  <c r="L74" i="3"/>
  <c r="H74" i="3"/>
  <c r="L73" i="3"/>
  <c r="H73" i="3"/>
  <c r="L72" i="3"/>
  <c r="H72" i="3"/>
  <c r="L71" i="3"/>
  <c r="H71" i="3"/>
  <c r="L70" i="3"/>
  <c r="H70" i="3"/>
  <c r="L69" i="3"/>
  <c r="H69" i="3"/>
  <c r="L68" i="3"/>
  <c r="H68" i="3"/>
  <c r="L67" i="3"/>
  <c r="H67" i="3"/>
  <c r="L66" i="3"/>
  <c r="H66" i="3"/>
  <c r="L65" i="3"/>
  <c r="H65" i="3"/>
  <c r="L64" i="3"/>
  <c r="H64" i="3"/>
  <c r="L63" i="3"/>
  <c r="H63" i="3"/>
  <c r="L62" i="3"/>
  <c r="H62" i="3"/>
  <c r="L61" i="3"/>
  <c r="H61" i="3"/>
  <c r="L60" i="3"/>
  <c r="H60" i="3"/>
  <c r="L59" i="3"/>
  <c r="H59" i="3"/>
  <c r="L58" i="3"/>
  <c r="H58" i="3"/>
  <c r="L57" i="3"/>
  <c r="H57" i="3"/>
  <c r="L56" i="3"/>
  <c r="H56" i="3"/>
  <c r="L55" i="3"/>
  <c r="H55" i="3"/>
  <c r="L54" i="3"/>
  <c r="H54" i="3"/>
  <c r="L53" i="3"/>
  <c r="H53" i="3"/>
  <c r="L52" i="3"/>
  <c r="H52" i="3"/>
  <c r="L51" i="3"/>
  <c r="H51" i="3"/>
  <c r="L50" i="3"/>
  <c r="H50" i="3"/>
  <c r="L49" i="3"/>
  <c r="H49" i="3"/>
  <c r="L48" i="3"/>
  <c r="H48" i="3"/>
  <c r="L47" i="3"/>
  <c r="H47" i="3"/>
  <c r="L46" i="3"/>
  <c r="H46" i="3"/>
  <c r="L45" i="3"/>
  <c r="H45" i="3"/>
  <c r="L44" i="3"/>
  <c r="H44" i="3"/>
  <c r="L43" i="3"/>
  <c r="H43" i="3"/>
  <c r="L42" i="3"/>
  <c r="H42" i="3"/>
  <c r="L41" i="3"/>
  <c r="H41" i="3"/>
  <c r="L40" i="3"/>
  <c r="H40" i="3"/>
  <c r="L39" i="3"/>
  <c r="H39" i="3"/>
  <c r="L38" i="3"/>
  <c r="H38" i="3"/>
  <c r="L37" i="3"/>
  <c r="H37" i="3"/>
  <c r="L36" i="3"/>
  <c r="H36" i="3"/>
  <c r="L35" i="3"/>
  <c r="H35" i="3"/>
  <c r="L34" i="3"/>
  <c r="H34" i="3"/>
  <c r="L33" i="3"/>
  <c r="H33" i="3"/>
  <c r="L32" i="3"/>
  <c r="H32" i="3"/>
  <c r="L31" i="3"/>
  <c r="H31" i="3"/>
  <c r="L30" i="3"/>
  <c r="H30" i="3"/>
  <c r="L29" i="3"/>
  <c r="H29" i="3"/>
  <c r="L28" i="3"/>
  <c r="H28" i="3"/>
  <c r="L27" i="3"/>
  <c r="H27" i="3"/>
  <c r="L26" i="3"/>
  <c r="H26" i="3"/>
  <c r="L25" i="3"/>
  <c r="H25" i="3"/>
  <c r="L24" i="3"/>
  <c r="H24" i="3"/>
  <c r="L23" i="3"/>
  <c r="H23" i="3"/>
  <c r="L22" i="3"/>
  <c r="H22" i="3"/>
  <c r="L21" i="3"/>
  <c r="H21" i="3"/>
  <c r="L20" i="3"/>
  <c r="H20" i="3"/>
  <c r="L19" i="3"/>
  <c r="H19" i="3"/>
  <c r="L18" i="3"/>
  <c r="H18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L10" i="3"/>
  <c r="H10" i="3"/>
  <c r="L9" i="3"/>
  <c r="H9" i="3"/>
  <c r="L8" i="3"/>
  <c r="H8" i="3"/>
  <c r="L7" i="3"/>
  <c r="H7" i="3"/>
  <c r="L6" i="3"/>
  <c r="H6" i="3"/>
  <c r="L5" i="3"/>
  <c r="H5" i="3"/>
  <c r="L4" i="3"/>
  <c r="H4" i="3"/>
  <c r="J10" i="1"/>
  <c r="G10" i="1"/>
  <c r="G6" i="1"/>
  <c r="J6" i="1" s="1"/>
  <c r="D6" i="1"/>
  <c r="A6" i="1"/>
  <c r="D15" i="7" l="1"/>
  <c r="D4" i="7"/>
  <c r="I4" i="7" s="1"/>
  <c r="I15" i="7"/>
  <c r="E15" i="7"/>
  <c r="F15" i="7"/>
  <c r="A10" i="1"/>
  <c r="F4" i="7"/>
  <c r="F5" i="7"/>
  <c r="F6" i="7"/>
  <c r="F7" i="7"/>
  <c r="F8" i="7"/>
  <c r="F9" i="7"/>
  <c r="F10" i="7"/>
  <c r="F11" i="7"/>
  <c r="F12" i="7"/>
  <c r="F13" i="7"/>
  <c r="F14" i="7"/>
  <c r="D10" i="1"/>
  <c r="E4" i="7"/>
  <c r="E5" i="7"/>
  <c r="G5" i="7" s="1"/>
  <c r="E6" i="7"/>
  <c r="G6" i="7" s="1"/>
  <c r="E7" i="7"/>
  <c r="G7" i="7" s="1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4" i="7" l="1"/>
  <c r="G14" i="7"/>
  <c r="G15" i="7"/>
</calcChain>
</file>

<file path=xl/sharedStrings.xml><?xml version="1.0" encoding="utf-8"?>
<sst xmlns="http://schemas.openxmlformats.org/spreadsheetml/2006/main" count="91" uniqueCount="83">
  <si>
    <t>لوحة تحكم مشروع الخدمات التقنية | Technical Services Business Dashboard</t>
  </si>
  <si>
    <t>المؤشرات الرئيسية</t>
  </si>
  <si>
    <t>إجمالي الإيرادات</t>
  </si>
  <si>
    <t>إجمالي المصروفات</t>
  </si>
  <si>
    <t>الربح قبل التخصيص</t>
  </si>
  <si>
    <t>صافي الربح</t>
  </si>
  <si>
    <t>الأعمال الخيرية 10%</t>
  </si>
  <si>
    <t>التغذية المرتدة 15%</t>
  </si>
  <si>
    <t>رأس المال الحالي</t>
  </si>
  <si>
    <t>عدد المشاريع</t>
  </si>
  <si>
    <t>ملاحظة</t>
  </si>
  <si>
    <t>النظام الحالي يحسب الربح على أساس الإيرادات المحصلة ناقص المصروفات المسجلة. يتم تخصيص 10% للأعمال الخيرية و15% للتغذية المرتدة من الربح الموجب. ويمكن لاحقاً إضافة إدارة العملاء، الفواتير، الديون، التدفقات النقدية، الأهداف، ومؤشرات أداء أكثر تفصيلاً.</t>
  </si>
  <si>
    <t>إعدادات المشروع | Project Settings</t>
  </si>
  <si>
    <t>الإعداد</t>
  </si>
  <si>
    <t>القيمة</t>
  </si>
  <si>
    <t>رأس المال الابتدائي | Initial Capital</t>
  </si>
  <si>
    <t>نسبة الأعمال الخيرية | Charity %</t>
  </si>
  <si>
    <t>نسبة التغذية المرتدة للتطوير | Reinvestment %</t>
  </si>
  <si>
    <t>العملة | Currency</t>
  </si>
  <si>
    <t>EGP</t>
  </si>
  <si>
    <t>الإيرادات والمشاريع البرمجية | Revenues &amp; Software Projects</t>
  </si>
  <si>
    <t>رقم المشروع</t>
  </si>
  <si>
    <t>العميل</t>
  </si>
  <si>
    <t>اسم المشروع</t>
  </si>
  <si>
    <t>نوع الخدمة</t>
  </si>
  <si>
    <t>تاريخ البيع</t>
  </si>
  <si>
    <t>قيمة المشروع</t>
  </si>
  <si>
    <t>المحصل</t>
  </si>
  <si>
    <t>المتبقي</t>
  </si>
  <si>
    <t>حالة المشروع</t>
  </si>
  <si>
    <t>تاريخ التسليم</t>
  </si>
  <si>
    <t>ملاحظات</t>
  </si>
  <si>
    <t>هامش الربح التقديري</t>
  </si>
  <si>
    <t>المصروفات | Expenses</t>
  </si>
  <si>
    <t>رقم المصروف</t>
  </si>
  <si>
    <t>التاريخ</t>
  </si>
  <si>
    <t>الفئة</t>
  </si>
  <si>
    <t>البند / الاشتراك</t>
  </si>
  <si>
    <t>طريقة الدفع</t>
  </si>
  <si>
    <t>المورد</t>
  </si>
  <si>
    <t>المشروع المرتبط</t>
  </si>
  <si>
    <t>متكرر؟</t>
  </si>
  <si>
    <t>رأس المال وحركة إعادة الاستثمار | Capital</t>
  </si>
  <si>
    <t>نوع الحركة</t>
  </si>
  <si>
    <t>الوصف</t>
  </si>
  <si>
    <t>المبلغ</t>
  </si>
  <si>
    <t>المصدر/المرجع</t>
  </si>
  <si>
    <t>المشروع</t>
  </si>
  <si>
    <t>الرصيد التراكمي</t>
  </si>
  <si>
    <t>الأعمال الخيرية | Charity (10% من الأرباح)</t>
  </si>
  <si>
    <t>الربح المرجعي</t>
  </si>
  <si>
    <t>النسبة</t>
  </si>
  <si>
    <t>المبلغ المستحق</t>
  </si>
  <si>
    <t>المبلغ المدفوع</t>
  </si>
  <si>
    <t>الجهة</t>
  </si>
  <si>
    <t>المتابعة الشهرية | Monthly Analysis</t>
  </si>
  <si>
    <t>السنة</t>
  </si>
  <si>
    <t>الشهر</t>
  </si>
  <si>
    <t>الإيرادات المحصلة</t>
  </si>
  <si>
    <t>المصروفات</t>
  </si>
  <si>
    <t>أعمال خيرية 10%</t>
  </si>
  <si>
    <t>تغذية مرتدة 15%</t>
  </si>
  <si>
    <t>رأس المال</t>
  </si>
  <si>
    <t>هامش الربح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</si>
  <si>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</si>
  <si>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</si>
  <si>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</si>
  <si>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</si>
  <si>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</si>
  <si>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</si>
  <si>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</si>
  <si>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</si>
  <si>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</si>
  <si>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</si>
  <si>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</si>
  <si>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</si>
  <si>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أدوات AI</t>
  </si>
  <si>
    <t>Gemini pro 18 شهر</t>
  </si>
  <si>
    <t>فودافون كاش</t>
  </si>
  <si>
    <t>Service-Hubs</t>
  </si>
  <si>
    <t>بدون مشروع مرتبط</t>
  </si>
  <si>
    <t>لا</t>
  </si>
  <si>
    <t>تم الاشتراك لمدة 18 شهر بتاريخ انتهاء 13مارس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</si>
</sst>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EGP&quot;"/>
    <numFmt numFmtId="165" formatCode="0.0%"/>
    <numFmt numFmtId="166" formatCode="dd/mm/yyyy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17365D"/>
      <name val="Calibri"/>
    </font>
    <font>
      <b/>
      <sz val="11"/>
      <color rgb="FFC00000"/>
      <name val="Calibri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 applyAlignment="1">
      <alignment horizontal="center"/>
    </xf>
    <xf numFmtId="166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 wrapText="1"/>
    </xf>
    <xf numFmtId="0" fontId="0" fillId="0" borderId="0" xfId="0"/>
    <xf numFmtId="164" fontId="8" fillId="7" borderId="0" xfId="0" applyNumberFormat="1" applyFont="1" applyFill="1" applyAlignment="1">
      <alignment horizontal="center"/>
    </xf>
    <xf numFmtId="0" fontId="7" fillId="0" borderId="0" xfId="0" applyFont="1"/>
    <xf numFmtId="0" fontId="6" fillId="2" borderId="0" xfId="0" applyFont="1" applyFill="1" applyAlignment="1">
      <alignment horizontal="center"/>
    </xf>
    <xf numFmtId="164" fontId="8" fillId="8" borderId="0" xfId="0" applyNumberFormat="1" applyFont="1" applyFill="1" applyAlignment="1">
      <alignment horizontal="center"/>
    </xf>
    <xf numFmtId="164" fontId="8" fillId="9" borderId="0" xfId="0" applyNumberFormat="1" applyFont="1" applyFill="1" applyAlignment="1">
      <alignment horizontal="center"/>
    </xf>
    <xf numFmtId="0" fontId="0" fillId="8" borderId="0" xfId="0" applyFill="1" applyAlignment="1">
      <alignment vertical="top" wrapText="1"/>
    </xf>
    <xf numFmtId="0" fontId="1" fillId="2" borderId="0" xfId="0" applyFont="1" applyFill="1" applyAlignment="1">
      <alignment horizontal="center"/>
    </xf>
    <xf numFmtId="164" fontId="8" fillId="10" borderId="0" xfId="0" applyNumberFormat="1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ar-EG" sz="1600"/>
              <a:t>الإيرادات مقابل المصروفات شهرياً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Monthly!$B$3</c:f>
              <c:strCache>
                <c:ptCount val="1"/>
                <c:pt idx="0">
                  <c:v>الإيرادات المحصلة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Monthly!$A$4:$A$15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Monthly!$B$4:$B$15</c:f>
              <c:numCache>
                <c:formatCode>#,##0.00\ "EGP"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9-43ED-9BD9-B82A05C3D68B}"/>
            </c:ext>
          </c:extLst>
        </c:ser>
        <c:ser>
          <c:idx val="1"/>
          <c:order val="1"/>
          <c:tx>
            <c:strRef>
              <c:f>Monthly!$C$3</c:f>
              <c:strCache>
                <c:ptCount val="1"/>
                <c:pt idx="0">
                  <c:v>المصروفات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Monthly!$A$4:$A$15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Monthly!$C$4:$C$15</c:f>
              <c:numCache>
                <c:formatCode>#,##0.00\ "EGP"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9-43ED-9BD9-B82A05C3D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EG"/>
                  <a:t>الشهر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#,##0.00\ &quot;EGP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000"/>
            </a:pPr>
            <a:r>
              <a:rPr lang="ar-EG" sz="2000"/>
              <a:t>صافي الربح الشهري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Monthly!$G$3</c:f>
              <c:strCache>
                <c:ptCount val="1"/>
                <c:pt idx="0">
                  <c:v>صافي الربح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Monthly!$A$4:$A$15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Monthly!$G$4:$G$15</c:f>
              <c:numCache>
                <c:formatCode>#,##0.00\ "EGP"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-450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EC-4048-BCE3-7D891C2E4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EGP</a:t>
                </a:r>
              </a:p>
            </c:rich>
          </c:tx>
          <c:overlay val="1"/>
        </c:title>
        <c:numFmt formatCode="#,##0.00\ &quot;EGP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13</xdr:row>
      <xdr:rowOff>161925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476250</xdr:colOff>
      <xdr:row>14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enuesTable" displayName="RevenuesTable" ref="A3:L203">
  <autoFilter ref="A3:L203" xr:uid="{00000000-0009-0000-0100-000001000000}"/>
  <tableColumns count="12">
    <tableColumn id="1" xr3:uid="{00000000-0010-0000-0000-000001000000}" name="رقم المشروع"/>
    <tableColumn id="2" xr3:uid="{00000000-0010-0000-0000-000002000000}" name="العميل"/>
    <tableColumn id="3" xr3:uid="{00000000-0010-0000-0000-000003000000}" name="اسم المشروع"/>
    <tableColumn id="4" xr3:uid="{00000000-0010-0000-0000-000004000000}" name="نوع الخدمة"/>
    <tableColumn id="5" xr3:uid="{00000000-0010-0000-0000-000005000000}" name="تاريخ البيع"/>
    <tableColumn id="6" xr3:uid="{00000000-0010-0000-0000-000006000000}" name="قيمة المشروع"/>
    <tableColumn id="7" xr3:uid="{00000000-0010-0000-0000-000007000000}" name="المحصل"/>
    <tableColumn id="8" xr3:uid="{00000000-0010-0000-0000-000008000000}" name="المتبقي"/>
    <tableColumn id="9" xr3:uid="{00000000-0010-0000-0000-000009000000}" name="حالة المشروع"/>
    <tableColumn id="10" xr3:uid="{00000000-0010-0000-0000-00000A000000}" name="تاريخ التسليم"/>
    <tableColumn id="11" xr3:uid="{00000000-0010-0000-0000-00000B000000}" name="ملاحظات"/>
    <tableColumn id="12" xr3:uid="{00000000-0010-0000-0000-00000C000000}" name="هامش الربح التقديري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esTable" displayName="ExpensesTable" ref="A3:J203" dataDxfId="0">
  <autoFilter ref="A3:J203" xr:uid="{00000000-0009-0000-0100-000002000000}"/>
  <tableColumns count="10">
    <tableColumn id="1" xr3:uid="{00000000-0010-0000-0100-000001000000}" name="رقم المصروف" dataDxfId="10"/>
    <tableColumn id="2" xr3:uid="{00000000-0010-0000-0100-000002000000}" name="التاريخ" dataDxfId="9"/>
    <tableColumn id="3" xr3:uid="{00000000-0010-0000-0100-000003000000}" name="الفئة" dataDxfId="8"/>
    <tableColumn id="4" xr3:uid="{00000000-0010-0000-0100-000004000000}" name="البند / الاشتراك" dataDxfId="7"/>
    <tableColumn id="5" xr3:uid="{00000000-0010-0000-0100-000005000000}" name="القيمة" dataDxfId="6"/>
    <tableColumn id="6" xr3:uid="{00000000-0010-0000-0100-000006000000}" name="طريقة الدفع" dataDxfId="5"/>
    <tableColumn id="7" xr3:uid="{00000000-0010-0000-0100-000007000000}" name="المورد" dataDxfId="4"/>
    <tableColumn id="8" xr3:uid="{00000000-0010-0000-0100-000008000000}" name="المشروع المرتبط" dataDxfId="3"/>
    <tableColumn id="9" xr3:uid="{00000000-0010-0000-0100-000009000000}" name="متكرر؟" dataDxfId="2"/>
    <tableColumn id="10" xr3:uid="{00000000-0010-0000-0100-00000A000000}" name="ملاحظات" dataDxfId="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pitalTable" displayName="CapitalTable" ref="A3:H203">
  <autoFilter ref="A3:H203" xr:uid="{00000000-0009-0000-0100-000003000000}"/>
  <tableColumns count="8">
    <tableColumn id="1" xr3:uid="{00000000-0010-0000-0200-000001000000}" name="التاريخ"/>
    <tableColumn id="2" xr3:uid="{00000000-0010-0000-0200-000002000000}" name="نوع الحركة"/>
    <tableColumn id="3" xr3:uid="{00000000-0010-0000-0200-000003000000}" name="الوصف"/>
    <tableColumn id="4" xr3:uid="{00000000-0010-0000-0200-000004000000}" name="المبلغ"/>
    <tableColumn id="5" xr3:uid="{00000000-0010-0000-0200-000005000000}" name="المصدر/المرجع"/>
    <tableColumn id="6" xr3:uid="{00000000-0010-0000-0200-000006000000}" name="المشروع"/>
    <tableColumn id="7" xr3:uid="{00000000-0010-0000-0200-000007000000}" name="ملاحظات"/>
    <tableColumn id="8" xr3:uid="{00000000-0010-0000-0200-000008000000}" name="الرصيد التراكمي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ityTable" displayName="CharityTable" ref="A3:G103">
  <autoFilter ref="A3:G103" xr:uid="{00000000-0009-0000-0100-000004000000}"/>
  <tableColumns count="7">
    <tableColumn id="1" xr3:uid="{00000000-0010-0000-0300-000001000000}" name="التاريخ"/>
    <tableColumn id="2" xr3:uid="{00000000-0010-0000-0300-000002000000}" name="الربح المرجعي"/>
    <tableColumn id="3" xr3:uid="{00000000-0010-0000-0300-000003000000}" name="النسبة"/>
    <tableColumn id="4" xr3:uid="{00000000-0010-0000-0300-000004000000}" name="المبلغ المستحق"/>
    <tableColumn id="5" xr3:uid="{00000000-0010-0000-0300-000005000000}" name="المبلغ المدفوع"/>
    <tableColumn id="6" xr3:uid="{00000000-0010-0000-0300-000006000000}" name="الجهة"/>
    <tableColumn id="7" xr3:uid="{00000000-0010-0000-0300-000007000000}" name="ملاحظات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nthlyTable" displayName="MonthlyTable" ref="A3:I15">
  <autoFilter ref="A3:I15" xr:uid="{00000000-0009-0000-0100-000005000000}"/>
  <tableColumns count="9">
    <tableColumn id="1" xr3:uid="{00000000-0010-0000-0400-000001000000}" name="الشهر"/>
    <tableColumn id="2" xr3:uid="{00000000-0010-0000-0400-000002000000}" name="الإيرادات المحصلة"/>
    <tableColumn id="3" xr3:uid="{00000000-0010-0000-0400-000003000000}" name="المصروفات"/>
    <tableColumn id="4" xr3:uid="{00000000-0010-0000-0400-000004000000}" name="الربح قبل التخصيص"/>
    <tableColumn id="5" xr3:uid="{00000000-0010-0000-0400-000005000000}" name="أعمال خيرية 10%"/>
    <tableColumn id="6" xr3:uid="{00000000-0010-0000-0400-000006000000}" name="تغذية مرتدة 15%"/>
    <tableColumn id="7" xr3:uid="{00000000-0010-0000-0400-000007000000}" name="صافي الربح"/>
    <tableColumn id="8" xr3:uid="{00000000-0010-0000-0400-000008000000}" name="رأس المال"/>
    <tableColumn id="9" xr3:uid="{00000000-0010-0000-0400-000009000000}" name="هامش الرب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rightToLeft="1" tabSelected="1" workbookViewId="0">
      <pane ySplit="3" topLeftCell="A4" activePane="bottomLeft" state="frozen"/>
      <selection pane="bottomLeft" activeCell="O4" sqref="O4"/>
    </sheetView>
  </sheetViews>
  <sheetFormatPr defaultRowHeight="15" x14ac:dyDescent="0.25"/>
  <cols>
    <col min="2" max="2" width="11.7109375" customWidth="1"/>
    <col min="5" max="5" width="11.5703125" customWidth="1"/>
    <col min="8" max="8" width="11.85546875" customWidth="1"/>
    <col min="11" max="11" width="11.5703125" customWidth="1"/>
  </cols>
  <sheetData>
    <row r="1" spans="1:12" ht="30" customHeight="1" x14ac:dyDescent="0.35">
      <c r="A1" s="21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18.75" x14ac:dyDescent="0.3">
      <c r="A3" s="1" t="s">
        <v>1</v>
      </c>
    </row>
    <row r="5" spans="1:12" ht="18.75" x14ac:dyDescent="0.3">
      <c r="A5" s="17" t="s">
        <v>2</v>
      </c>
      <c r="B5" s="16"/>
      <c r="C5" s="12"/>
      <c r="D5" s="17" t="s">
        <v>3</v>
      </c>
      <c r="E5" s="16"/>
      <c r="F5" s="12"/>
      <c r="G5" s="17" t="s">
        <v>4</v>
      </c>
      <c r="H5" s="16"/>
      <c r="I5" s="12"/>
      <c r="J5" s="17" t="s">
        <v>5</v>
      </c>
      <c r="K5" s="16"/>
    </row>
    <row r="6" spans="1:12" ht="18.75" x14ac:dyDescent="0.3">
      <c r="A6" s="15">
        <f>SUM(Revenues!$G:$G)</f>
        <v>0</v>
      </c>
      <c r="B6" s="16"/>
      <c r="C6" s="12"/>
      <c r="D6" s="18">
        <f>SUM(Expenses!$E:$E)</f>
        <v>450</v>
      </c>
      <c r="E6" s="16"/>
      <c r="F6" s="12"/>
      <c r="G6" s="19">
        <f>SUM(Revenues!$G:$G)-SUM(Expenses!$E:$E)</f>
        <v>-450</v>
      </c>
      <c r="H6" s="16"/>
      <c r="I6" s="12"/>
      <c r="J6" s="15">
        <f>MAX(0,G6-(G6*Settings!$B$5)-(G6*Settings!$B$6))</f>
        <v>0</v>
      </c>
      <c r="K6" s="16"/>
    </row>
    <row r="7" spans="1:12" ht="18.75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2" ht="18.75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2" ht="18.75" x14ac:dyDescent="0.3">
      <c r="A9" s="17" t="s">
        <v>6</v>
      </c>
      <c r="B9" s="16"/>
      <c r="C9" s="12"/>
      <c r="D9" s="17" t="s">
        <v>7</v>
      </c>
      <c r="E9" s="16"/>
      <c r="F9" s="12"/>
      <c r="G9" s="17" t="s">
        <v>8</v>
      </c>
      <c r="H9" s="16"/>
      <c r="I9" s="12"/>
      <c r="J9" s="17" t="s">
        <v>9</v>
      </c>
      <c r="K9" s="16"/>
    </row>
    <row r="10" spans="1:12" ht="18.75" x14ac:dyDescent="0.3">
      <c r="A10" s="22">
        <f>MAX(0,G6*Settings!$B$5)</f>
        <v>0</v>
      </c>
      <c r="B10" s="16"/>
      <c r="C10" s="12"/>
      <c r="D10" s="19">
        <f>MAX(0,G6*Settings!$B$6)</f>
        <v>0</v>
      </c>
      <c r="E10" s="16"/>
      <c r="F10" s="12"/>
      <c r="G10" s="15">
        <f>Settings!$B$4+SUMIFS(Capital!$D:$D,Capital!$B:$B,"&lt;&gt;سحب من رأس المال")-SUMIFS(Capital!$D:$D,Capital!$B:$B,"سحب من رأس المال")</f>
        <v>5000</v>
      </c>
      <c r="H10" s="16"/>
      <c r="I10" s="12"/>
      <c r="J10" s="23">
        <f>COUNTA(Revenues!$A$4:$A$203)</f>
        <v>0</v>
      </c>
      <c r="K10" s="16"/>
    </row>
    <row r="13" spans="1:12" ht="18.75" x14ac:dyDescent="0.3">
      <c r="A13" s="1"/>
    </row>
    <row r="14" spans="1:12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32" spans="1:12" x14ac:dyDescent="0.25">
      <c r="A32" s="2" t="s">
        <v>10</v>
      </c>
    </row>
    <row r="33" spans="1:12" x14ac:dyDescent="0.25">
      <c r="A33" s="20" t="s">
        <v>11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</sheetData>
  <mergeCells count="25">
    <mergeCell ref="A33:L34"/>
    <mergeCell ref="A1:L1"/>
    <mergeCell ref="D5:E5"/>
    <mergeCell ref="A10:B10"/>
    <mergeCell ref="A9:B9"/>
    <mergeCell ref="G9:H9"/>
    <mergeCell ref="A20:L20"/>
    <mergeCell ref="A19:L19"/>
    <mergeCell ref="A5:B5"/>
    <mergeCell ref="G5:H5"/>
    <mergeCell ref="D9:E9"/>
    <mergeCell ref="A15:L15"/>
    <mergeCell ref="A16:L16"/>
    <mergeCell ref="D10:E10"/>
    <mergeCell ref="J5:K5"/>
    <mergeCell ref="J10:K10"/>
    <mergeCell ref="A18:L18"/>
    <mergeCell ref="A6:B6"/>
    <mergeCell ref="J9:K9"/>
    <mergeCell ref="D6:E6"/>
    <mergeCell ref="J6:K6"/>
    <mergeCell ref="G10:H10"/>
    <mergeCell ref="A14:L14"/>
    <mergeCell ref="A17:L17"/>
    <mergeCell ref="G6:H6"/>
  </mergeCells>
  <pageMargins left="0.25" right="0.25" top="1" bottom="1" header="0.5" footer="0.5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rightToLeft="1" workbookViewId="0">
      <pane ySplit="3" topLeftCell="A4" activePane="bottomLeft" state="frozen"/>
      <selection pane="bottomLeft" activeCell="B5" sqref="B5"/>
    </sheetView>
  </sheetViews>
  <sheetFormatPr defaultRowHeight="15" x14ac:dyDescent="0.25"/>
  <cols>
    <col min="1" max="1" width="48" customWidth="1"/>
    <col min="2" max="2" width="20" customWidth="1"/>
  </cols>
  <sheetData>
    <row r="1" spans="1:4" ht="30" customHeight="1" x14ac:dyDescent="0.35">
      <c r="A1" s="21" t="s">
        <v>12</v>
      </c>
      <c r="B1" s="14"/>
      <c r="C1" s="14"/>
      <c r="D1" s="14"/>
    </row>
    <row r="3" spans="1:4" x14ac:dyDescent="0.25">
      <c r="A3" s="3" t="s">
        <v>13</v>
      </c>
      <c r="B3" s="3" t="s">
        <v>14</v>
      </c>
    </row>
    <row r="4" spans="1:4" x14ac:dyDescent="0.25">
      <c r="A4" t="s">
        <v>15</v>
      </c>
      <c r="B4" s="4">
        <v>5000</v>
      </c>
    </row>
    <row r="5" spans="1:4" x14ac:dyDescent="0.25">
      <c r="A5" t="s">
        <v>16</v>
      </c>
      <c r="B5" s="5">
        <v>0.1</v>
      </c>
    </row>
    <row r="6" spans="1:4" x14ac:dyDescent="0.25">
      <c r="A6" t="s">
        <v>17</v>
      </c>
      <c r="B6" s="5">
        <v>0.15</v>
      </c>
    </row>
    <row r="7" spans="1:4" x14ac:dyDescent="0.25">
      <c r="A7" t="s">
        <v>18</v>
      </c>
      <c r="B7" t="s">
        <v>19</v>
      </c>
    </row>
  </sheetData>
  <mergeCells count="1">
    <mergeCell ref="A1:D1"/>
  </mergeCells>
  <pageMargins left="0.25" right="0.2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3"/>
  <sheetViews>
    <sheetView rightToLeft="1" workbookViewId="0">
      <pane ySplit="3" topLeftCell="A4" activePane="bottomLeft" state="frozen"/>
      <selection pane="bottomLeft" activeCell="I4" sqref="I4"/>
    </sheetView>
  </sheetViews>
  <sheetFormatPr defaultRowHeight="15" x14ac:dyDescent="0.25"/>
  <cols>
    <col min="1" max="1" width="14" customWidth="1"/>
    <col min="2" max="2" width="22" customWidth="1"/>
    <col min="3" max="3" width="28" customWidth="1"/>
    <col min="4" max="4" width="20" customWidth="1"/>
    <col min="5" max="5" width="13" customWidth="1"/>
    <col min="6" max="8" width="16" customWidth="1"/>
    <col min="9" max="9" width="18" customWidth="1"/>
    <col min="10" max="10" width="15" customWidth="1"/>
    <col min="11" max="11" width="30" customWidth="1"/>
    <col min="12" max="12" width="18" customWidth="1"/>
  </cols>
  <sheetData>
    <row r="1" spans="1:12" ht="30" customHeight="1" x14ac:dyDescent="0.35">
      <c r="A1" s="21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x14ac:dyDescent="0.25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</row>
    <row r="4" spans="1:12" x14ac:dyDescent="0.25">
      <c r="E4" s="7"/>
      <c r="F4" s="4"/>
      <c r="G4" s="4"/>
      <c r="H4" s="4" t="str">
        <f t="shared" ref="H4:H35" si="0">IF(F4="","",F4-G4)</f>
        <v/>
      </c>
      <c r="J4" s="7"/>
      <c r="L4" s="5" t="str">
        <f>IF(F4="","",IFERROR((F4-SUMIFS(Expenses!$E:$E,Expenses!$H:$H,A4))/F4,0))</f>
        <v/>
      </c>
    </row>
    <row r="5" spans="1:12" x14ac:dyDescent="0.25">
      <c r="E5" s="7"/>
      <c r="F5" s="4"/>
      <c r="G5" s="4"/>
      <c r="H5" s="4" t="str">
        <f t="shared" si="0"/>
        <v/>
      </c>
      <c r="J5" s="7"/>
      <c r="L5" s="5" t="str">
        <f>IF(F5="","",IFERROR((F5-SUMIFS(Expenses!$E:$E,Expenses!$H:$H,A5))/F5,0))</f>
        <v/>
      </c>
    </row>
    <row r="6" spans="1:12" x14ac:dyDescent="0.25">
      <c r="E6" s="7"/>
      <c r="F6" s="4"/>
      <c r="G6" s="4"/>
      <c r="H6" s="4" t="str">
        <f t="shared" si="0"/>
        <v/>
      </c>
      <c r="J6" s="7"/>
      <c r="L6" s="5" t="str">
        <f>IF(F6="","",IFERROR((F6-SUMIFS(Expenses!$E:$E,Expenses!$H:$H,A6))/F6,0))</f>
        <v/>
      </c>
    </row>
    <row r="7" spans="1:12" x14ac:dyDescent="0.25">
      <c r="E7" s="7"/>
      <c r="F7" s="4"/>
      <c r="G7" s="4"/>
      <c r="H7" s="4" t="str">
        <f t="shared" si="0"/>
        <v/>
      </c>
      <c r="J7" s="7"/>
      <c r="L7" s="5" t="str">
        <f>IF(F7="","",IFERROR((F7-SUMIFS(Expenses!$E:$E,Expenses!$H:$H,A7))/F7,0))</f>
        <v/>
      </c>
    </row>
    <row r="8" spans="1:12" x14ac:dyDescent="0.25">
      <c r="E8" s="7"/>
      <c r="F8" s="4"/>
      <c r="G8" s="4"/>
      <c r="H8" s="4" t="str">
        <f t="shared" si="0"/>
        <v/>
      </c>
      <c r="J8" s="7"/>
      <c r="L8" s="5" t="str">
        <f>IF(F8="","",IFERROR((F8-SUMIFS(Expenses!$E:$E,Expenses!$H:$H,A8))/F8,0))</f>
        <v/>
      </c>
    </row>
    <row r="9" spans="1:12" x14ac:dyDescent="0.25">
      <c r="E9" s="7"/>
      <c r="F9" s="4"/>
      <c r="G9" s="4"/>
      <c r="H9" s="4" t="str">
        <f t="shared" si="0"/>
        <v/>
      </c>
      <c r="J9" s="7"/>
      <c r="L9" s="5" t="str">
        <f>IF(F9="","",IFERROR((F9-SUMIFS(Expenses!$E:$E,Expenses!$H:$H,A9))/F9,0))</f>
        <v/>
      </c>
    </row>
    <row r="10" spans="1:12" x14ac:dyDescent="0.25">
      <c r="E10" s="7"/>
      <c r="F10" s="4"/>
      <c r="G10" s="4"/>
      <c r="H10" s="4" t="str">
        <f t="shared" si="0"/>
        <v/>
      </c>
      <c r="J10" s="7"/>
      <c r="L10" s="5" t="str">
        <f>IF(F10="","",IFERROR((F10-SUMIFS(Expenses!$E:$E,Expenses!$H:$H,A10))/F10,0))</f>
        <v/>
      </c>
    </row>
    <row r="11" spans="1:12" x14ac:dyDescent="0.25">
      <c r="E11" s="7"/>
      <c r="F11" s="4"/>
      <c r="G11" s="4"/>
      <c r="H11" s="4" t="str">
        <f t="shared" si="0"/>
        <v/>
      </c>
      <c r="J11" s="7"/>
      <c r="L11" s="5" t="str">
        <f>IF(F11="","",IFERROR((F11-SUMIFS(Expenses!$E:$E,Expenses!$H:$H,A11))/F11,0))</f>
        <v/>
      </c>
    </row>
    <row r="12" spans="1:12" x14ac:dyDescent="0.25">
      <c r="E12" s="7"/>
      <c r="F12" s="4"/>
      <c r="G12" s="4"/>
      <c r="H12" s="4" t="str">
        <f t="shared" si="0"/>
        <v/>
      </c>
      <c r="J12" s="7"/>
      <c r="L12" s="5" t="str">
        <f>IF(F12="","",IFERROR((F12-SUMIFS(Expenses!$E:$E,Expenses!$H:$H,A12))/F12,0))</f>
        <v/>
      </c>
    </row>
    <row r="13" spans="1:12" x14ac:dyDescent="0.25">
      <c r="E13" s="7"/>
      <c r="F13" s="4"/>
      <c r="G13" s="4"/>
      <c r="H13" s="4" t="str">
        <f t="shared" si="0"/>
        <v/>
      </c>
      <c r="J13" s="7"/>
      <c r="L13" s="5" t="str">
        <f>IF(F13="","",IFERROR((F13-SUMIFS(Expenses!$E:$E,Expenses!$H:$H,A13))/F13,0))</f>
        <v/>
      </c>
    </row>
    <row r="14" spans="1:12" x14ac:dyDescent="0.25">
      <c r="E14" s="7"/>
      <c r="F14" s="4"/>
      <c r="G14" s="4"/>
      <c r="H14" s="4" t="str">
        <f t="shared" si="0"/>
        <v/>
      </c>
      <c r="J14" s="7"/>
      <c r="L14" s="5" t="str">
        <f>IF(F14="","",IFERROR((F14-SUMIFS(Expenses!$E:$E,Expenses!$H:$H,A14))/F14,0))</f>
        <v/>
      </c>
    </row>
    <row r="15" spans="1:12" x14ac:dyDescent="0.25">
      <c r="E15" s="7"/>
      <c r="F15" s="4"/>
      <c r="G15" s="4"/>
      <c r="H15" s="4" t="str">
        <f t="shared" si="0"/>
        <v/>
      </c>
      <c r="J15" s="7"/>
      <c r="L15" s="5" t="str">
        <f>IF(F15="","",IFERROR((F15-SUMIFS(Expenses!$E:$E,Expenses!$H:$H,A15))/F15,0))</f>
        <v/>
      </c>
    </row>
    <row r="16" spans="1:12" x14ac:dyDescent="0.25">
      <c r="E16" s="7"/>
      <c r="F16" s="4"/>
      <c r="G16" s="4"/>
      <c r="H16" s="4" t="str">
        <f t="shared" si="0"/>
        <v/>
      </c>
      <c r="J16" s="7"/>
      <c r="L16" s="5" t="str">
        <f>IF(F16="","",IFERROR((F16-SUMIFS(Expenses!$E:$E,Expenses!$H:$H,A16))/F16,0))</f>
        <v/>
      </c>
    </row>
    <row r="17" spans="5:12" x14ac:dyDescent="0.25">
      <c r="E17" s="7"/>
      <c r="F17" s="4"/>
      <c r="G17" s="4"/>
      <c r="H17" s="4" t="str">
        <f t="shared" si="0"/>
        <v/>
      </c>
      <c r="J17" s="7"/>
      <c r="L17" s="5" t="str">
        <f>IF(F17="","",IFERROR((F17-SUMIFS(Expenses!$E:$E,Expenses!$H:$H,A17))/F17,0))</f>
        <v/>
      </c>
    </row>
    <row r="18" spans="5:12" x14ac:dyDescent="0.25">
      <c r="E18" s="7"/>
      <c r="F18" s="4"/>
      <c r="G18" s="4"/>
      <c r="H18" s="4" t="str">
        <f t="shared" si="0"/>
        <v/>
      </c>
      <c r="J18" s="7"/>
      <c r="L18" s="5" t="str">
        <f>IF(F18="","",IFERROR((F18-SUMIFS(Expenses!$E:$E,Expenses!$H:$H,A18))/F18,0))</f>
        <v/>
      </c>
    </row>
    <row r="19" spans="5:12" x14ac:dyDescent="0.25">
      <c r="E19" s="7"/>
      <c r="F19" s="4"/>
      <c r="G19" s="4"/>
      <c r="H19" s="4" t="str">
        <f t="shared" si="0"/>
        <v/>
      </c>
      <c r="J19" s="7"/>
      <c r="L19" s="5" t="str">
        <f>IF(F19="","",IFERROR((F19-SUMIFS(Expenses!$E:$E,Expenses!$H:$H,A19))/F19,0))</f>
        <v/>
      </c>
    </row>
    <row r="20" spans="5:12" x14ac:dyDescent="0.25">
      <c r="E20" s="7"/>
      <c r="F20" s="4"/>
      <c r="G20" s="4"/>
      <c r="H20" s="4" t="str">
        <f t="shared" si="0"/>
        <v/>
      </c>
      <c r="J20" s="7"/>
      <c r="L20" s="5" t="str">
        <f>IF(F20="","",IFERROR((F20-SUMIFS(Expenses!$E:$E,Expenses!$H:$H,A20))/F20,0))</f>
        <v/>
      </c>
    </row>
    <row r="21" spans="5:12" x14ac:dyDescent="0.25">
      <c r="E21" s="7"/>
      <c r="F21" s="4"/>
      <c r="G21" s="4"/>
      <c r="H21" s="4" t="str">
        <f t="shared" si="0"/>
        <v/>
      </c>
      <c r="J21" s="7"/>
      <c r="L21" s="5" t="str">
        <f>IF(F21="","",IFERROR((F21-SUMIFS(Expenses!$E:$E,Expenses!$H:$H,A21))/F21,0))</f>
        <v/>
      </c>
    </row>
    <row r="22" spans="5:12" x14ac:dyDescent="0.25">
      <c r="E22" s="7"/>
      <c r="F22" s="4"/>
      <c r="G22" s="4"/>
      <c r="H22" s="4" t="str">
        <f t="shared" si="0"/>
        <v/>
      </c>
      <c r="J22" s="7"/>
      <c r="L22" s="5" t="str">
        <f>IF(F22="","",IFERROR((F22-SUMIFS(Expenses!$E:$E,Expenses!$H:$H,A22))/F22,0))</f>
        <v/>
      </c>
    </row>
    <row r="23" spans="5:12" x14ac:dyDescent="0.25">
      <c r="E23" s="7"/>
      <c r="F23" s="4"/>
      <c r="G23" s="4"/>
      <c r="H23" s="4" t="str">
        <f t="shared" si="0"/>
        <v/>
      </c>
      <c r="J23" s="7"/>
      <c r="L23" s="5" t="str">
        <f>IF(F23="","",IFERROR((F23-SUMIFS(Expenses!$E:$E,Expenses!$H:$H,A23))/F23,0))</f>
        <v/>
      </c>
    </row>
    <row r="24" spans="5:12" x14ac:dyDescent="0.25">
      <c r="E24" s="7"/>
      <c r="F24" s="4"/>
      <c r="G24" s="4"/>
      <c r="H24" s="4" t="str">
        <f t="shared" si="0"/>
        <v/>
      </c>
      <c r="J24" s="7"/>
      <c r="L24" s="5" t="str">
        <f>IF(F24="","",IFERROR((F24-SUMIFS(Expenses!$E:$E,Expenses!$H:$H,A24))/F24,0))</f>
        <v/>
      </c>
    </row>
    <row r="25" spans="5:12" x14ac:dyDescent="0.25">
      <c r="E25" s="7"/>
      <c r="F25" s="4"/>
      <c r="G25" s="4"/>
      <c r="H25" s="4" t="str">
        <f t="shared" si="0"/>
        <v/>
      </c>
      <c r="J25" s="7"/>
      <c r="L25" s="5" t="str">
        <f>IF(F25="","",IFERROR((F25-SUMIFS(Expenses!$E:$E,Expenses!$H:$H,A25))/F25,0))</f>
        <v/>
      </c>
    </row>
    <row r="26" spans="5:12" x14ac:dyDescent="0.25">
      <c r="E26" s="7"/>
      <c r="F26" s="4"/>
      <c r="G26" s="4"/>
      <c r="H26" s="4" t="str">
        <f t="shared" si="0"/>
        <v/>
      </c>
      <c r="J26" s="7"/>
      <c r="L26" s="5" t="str">
        <f>IF(F26="","",IFERROR((F26-SUMIFS(Expenses!$E:$E,Expenses!$H:$H,A26))/F26,0))</f>
        <v/>
      </c>
    </row>
    <row r="27" spans="5:12" x14ac:dyDescent="0.25">
      <c r="E27" s="7"/>
      <c r="F27" s="4"/>
      <c r="G27" s="4"/>
      <c r="H27" s="4" t="str">
        <f t="shared" si="0"/>
        <v/>
      </c>
      <c r="J27" s="7"/>
      <c r="L27" s="5" t="str">
        <f>IF(F27="","",IFERROR((F27-SUMIFS(Expenses!$E:$E,Expenses!$H:$H,A27))/F27,0))</f>
        <v/>
      </c>
    </row>
    <row r="28" spans="5:12" x14ac:dyDescent="0.25">
      <c r="E28" s="7"/>
      <c r="F28" s="4"/>
      <c r="G28" s="4"/>
      <c r="H28" s="4" t="str">
        <f t="shared" si="0"/>
        <v/>
      </c>
      <c r="J28" s="7"/>
      <c r="L28" s="5" t="str">
        <f>IF(F28="","",IFERROR((F28-SUMIFS(Expenses!$E:$E,Expenses!$H:$H,A28))/F28,0))</f>
        <v/>
      </c>
    </row>
    <row r="29" spans="5:12" x14ac:dyDescent="0.25">
      <c r="E29" s="7"/>
      <c r="F29" s="4"/>
      <c r="G29" s="4"/>
      <c r="H29" s="4" t="str">
        <f t="shared" si="0"/>
        <v/>
      </c>
      <c r="J29" s="7"/>
      <c r="L29" s="5" t="str">
        <f>IF(F29="","",IFERROR((F29-SUMIFS(Expenses!$E:$E,Expenses!$H:$H,A29))/F29,0))</f>
        <v/>
      </c>
    </row>
    <row r="30" spans="5:12" x14ac:dyDescent="0.25">
      <c r="E30" s="7"/>
      <c r="F30" s="4"/>
      <c r="G30" s="4"/>
      <c r="H30" s="4" t="str">
        <f t="shared" si="0"/>
        <v/>
      </c>
      <c r="J30" s="7"/>
      <c r="L30" s="5" t="str">
        <f>IF(F30="","",IFERROR((F30-SUMIFS(Expenses!$E:$E,Expenses!$H:$H,A30))/F30,0))</f>
        <v/>
      </c>
    </row>
    <row r="31" spans="5:12" x14ac:dyDescent="0.25">
      <c r="E31" s="7"/>
      <c r="F31" s="4"/>
      <c r="G31" s="4"/>
      <c r="H31" s="4" t="str">
        <f t="shared" si="0"/>
        <v/>
      </c>
      <c r="J31" s="7"/>
      <c r="L31" s="5" t="str">
        <f>IF(F31="","",IFERROR((F31-SUMIFS(Expenses!$E:$E,Expenses!$H:$H,A31))/F31,0))</f>
        <v/>
      </c>
    </row>
    <row r="32" spans="5:12" x14ac:dyDescent="0.25">
      <c r="E32" s="7"/>
      <c r="F32" s="4"/>
      <c r="G32" s="4"/>
      <c r="H32" s="4" t="str">
        <f t="shared" si="0"/>
        <v/>
      </c>
      <c r="J32" s="7"/>
      <c r="L32" s="5" t="str">
        <f>IF(F32="","",IFERROR((F32-SUMIFS(Expenses!$E:$E,Expenses!$H:$H,A32))/F32,0))</f>
        <v/>
      </c>
    </row>
    <row r="33" spans="5:12" x14ac:dyDescent="0.25">
      <c r="E33" s="7"/>
      <c r="F33" s="4"/>
      <c r="G33" s="4"/>
      <c r="H33" s="4" t="str">
        <f t="shared" si="0"/>
        <v/>
      </c>
      <c r="J33" s="7"/>
      <c r="L33" s="5" t="str">
        <f>IF(F33="","",IFERROR((F33-SUMIFS(Expenses!$E:$E,Expenses!$H:$H,A33))/F33,0))</f>
        <v/>
      </c>
    </row>
    <row r="34" spans="5:12" x14ac:dyDescent="0.25">
      <c r="E34" s="7"/>
      <c r="F34" s="4"/>
      <c r="G34" s="4"/>
      <c r="H34" s="4" t="str">
        <f t="shared" si="0"/>
        <v/>
      </c>
      <c r="J34" s="7"/>
      <c r="L34" s="5" t="str">
        <f>IF(F34="","",IFERROR((F34-SUMIFS(Expenses!$E:$E,Expenses!$H:$H,A34))/F34,0))</f>
        <v/>
      </c>
    </row>
    <row r="35" spans="5:12" x14ac:dyDescent="0.25">
      <c r="E35" s="7"/>
      <c r="F35" s="4"/>
      <c r="G35" s="4"/>
      <c r="H35" s="4" t="str">
        <f t="shared" si="0"/>
        <v/>
      </c>
      <c r="J35" s="7"/>
      <c r="L35" s="5" t="str">
        <f>IF(F35="","",IFERROR((F35-SUMIFS(Expenses!$E:$E,Expenses!$H:$H,A35))/F35,0))</f>
        <v/>
      </c>
    </row>
    <row r="36" spans="5:12" x14ac:dyDescent="0.25">
      <c r="E36" s="7"/>
      <c r="F36" s="4"/>
      <c r="G36" s="4"/>
      <c r="H36" s="4" t="str">
        <f t="shared" ref="H36:H67" si="1">IF(F36="","",F36-G36)</f>
        <v/>
      </c>
      <c r="J36" s="7"/>
      <c r="L36" s="5" t="str">
        <f>IF(F36="","",IFERROR((F36-SUMIFS(Expenses!$E:$E,Expenses!$H:$H,A36))/F36,0))</f>
        <v/>
      </c>
    </row>
    <row r="37" spans="5:12" x14ac:dyDescent="0.25">
      <c r="E37" s="7"/>
      <c r="F37" s="4"/>
      <c r="G37" s="4"/>
      <c r="H37" s="4" t="str">
        <f t="shared" si="1"/>
        <v/>
      </c>
      <c r="J37" s="7"/>
      <c r="L37" s="5" t="str">
        <f>IF(F37="","",IFERROR((F37-SUMIFS(Expenses!$E:$E,Expenses!$H:$H,A37))/F37,0))</f>
        <v/>
      </c>
    </row>
    <row r="38" spans="5:12" x14ac:dyDescent="0.25">
      <c r="E38" s="7"/>
      <c r="F38" s="4"/>
      <c r="G38" s="4"/>
      <c r="H38" s="4" t="str">
        <f t="shared" si="1"/>
        <v/>
      </c>
      <c r="J38" s="7"/>
      <c r="L38" s="5" t="str">
        <f>IF(F38="","",IFERROR((F38-SUMIFS(Expenses!$E:$E,Expenses!$H:$H,A38))/F38,0))</f>
        <v/>
      </c>
    </row>
    <row r="39" spans="5:12" x14ac:dyDescent="0.25">
      <c r="E39" s="7"/>
      <c r="F39" s="4"/>
      <c r="G39" s="4"/>
      <c r="H39" s="4" t="str">
        <f t="shared" si="1"/>
        <v/>
      </c>
      <c r="J39" s="7"/>
      <c r="L39" s="5" t="str">
        <f>IF(F39="","",IFERROR((F39-SUMIFS(Expenses!$E:$E,Expenses!$H:$H,A39))/F39,0))</f>
        <v/>
      </c>
    </row>
    <row r="40" spans="5:12" x14ac:dyDescent="0.25">
      <c r="E40" s="7"/>
      <c r="F40" s="4"/>
      <c r="G40" s="4"/>
      <c r="H40" s="4" t="str">
        <f t="shared" si="1"/>
        <v/>
      </c>
      <c r="J40" s="7"/>
      <c r="L40" s="5" t="str">
        <f>IF(F40="","",IFERROR((F40-SUMIFS(Expenses!$E:$E,Expenses!$H:$H,A40))/F40,0))</f>
        <v/>
      </c>
    </row>
    <row r="41" spans="5:12" x14ac:dyDescent="0.25">
      <c r="E41" s="7"/>
      <c r="F41" s="4"/>
      <c r="G41" s="4"/>
      <c r="H41" s="4" t="str">
        <f t="shared" si="1"/>
        <v/>
      </c>
      <c r="J41" s="7"/>
      <c r="L41" s="5" t="str">
        <f>IF(F41="","",IFERROR((F41-SUMIFS(Expenses!$E:$E,Expenses!$H:$H,A41))/F41,0))</f>
        <v/>
      </c>
    </row>
    <row r="42" spans="5:12" x14ac:dyDescent="0.25">
      <c r="E42" s="7"/>
      <c r="F42" s="4"/>
      <c r="G42" s="4"/>
      <c r="H42" s="4" t="str">
        <f t="shared" si="1"/>
        <v/>
      </c>
      <c r="J42" s="7"/>
      <c r="L42" s="5" t="str">
        <f>IF(F42="","",IFERROR((F42-SUMIFS(Expenses!$E:$E,Expenses!$H:$H,A42))/F42,0))</f>
        <v/>
      </c>
    </row>
    <row r="43" spans="5:12" x14ac:dyDescent="0.25">
      <c r="E43" s="7"/>
      <c r="F43" s="4"/>
      <c r="G43" s="4"/>
      <c r="H43" s="4" t="str">
        <f t="shared" si="1"/>
        <v/>
      </c>
      <c r="J43" s="7"/>
      <c r="L43" s="5" t="str">
        <f>IF(F43="","",IFERROR((F43-SUMIFS(Expenses!$E:$E,Expenses!$H:$H,A43))/F43,0))</f>
        <v/>
      </c>
    </row>
    <row r="44" spans="5:12" x14ac:dyDescent="0.25">
      <c r="E44" s="7"/>
      <c r="F44" s="4"/>
      <c r="G44" s="4"/>
      <c r="H44" s="4" t="str">
        <f t="shared" si="1"/>
        <v/>
      </c>
      <c r="J44" s="7"/>
      <c r="L44" s="5" t="str">
        <f>IF(F44="","",IFERROR((F44-SUMIFS(Expenses!$E:$E,Expenses!$H:$H,A44))/F44,0))</f>
        <v/>
      </c>
    </row>
    <row r="45" spans="5:12" x14ac:dyDescent="0.25">
      <c r="E45" s="7"/>
      <c r="F45" s="4"/>
      <c r="G45" s="4"/>
      <c r="H45" s="4" t="str">
        <f t="shared" si="1"/>
        <v/>
      </c>
      <c r="J45" s="7"/>
      <c r="L45" s="5" t="str">
        <f>IF(F45="","",IFERROR((F45-SUMIFS(Expenses!$E:$E,Expenses!$H:$H,A45))/F45,0))</f>
        <v/>
      </c>
    </row>
    <row r="46" spans="5:12" x14ac:dyDescent="0.25">
      <c r="E46" s="7"/>
      <c r="F46" s="4"/>
      <c r="G46" s="4"/>
      <c r="H46" s="4" t="str">
        <f t="shared" si="1"/>
        <v/>
      </c>
      <c r="J46" s="7"/>
      <c r="L46" s="5" t="str">
        <f>IF(F46="","",IFERROR((F46-SUMIFS(Expenses!$E:$E,Expenses!$H:$H,A46))/F46,0))</f>
        <v/>
      </c>
    </row>
    <row r="47" spans="5:12" x14ac:dyDescent="0.25">
      <c r="E47" s="7"/>
      <c r="F47" s="4"/>
      <c r="G47" s="4"/>
      <c r="H47" s="4" t="str">
        <f t="shared" si="1"/>
        <v/>
      </c>
      <c r="J47" s="7"/>
      <c r="L47" s="5" t="str">
        <f>IF(F47="","",IFERROR((F47-SUMIFS(Expenses!$E:$E,Expenses!$H:$H,A47))/F47,0))</f>
        <v/>
      </c>
    </row>
    <row r="48" spans="5:12" x14ac:dyDescent="0.25">
      <c r="E48" s="7"/>
      <c r="F48" s="4"/>
      <c r="G48" s="4"/>
      <c r="H48" s="4" t="str">
        <f t="shared" si="1"/>
        <v/>
      </c>
      <c r="J48" s="7"/>
      <c r="L48" s="5" t="str">
        <f>IF(F48="","",IFERROR((F48-SUMIFS(Expenses!$E:$E,Expenses!$H:$H,A48))/F48,0))</f>
        <v/>
      </c>
    </row>
    <row r="49" spans="5:12" x14ac:dyDescent="0.25">
      <c r="E49" s="7"/>
      <c r="F49" s="4"/>
      <c r="G49" s="4"/>
      <c r="H49" s="4" t="str">
        <f t="shared" si="1"/>
        <v/>
      </c>
      <c r="J49" s="7"/>
      <c r="L49" s="5" t="str">
        <f>IF(F49="","",IFERROR((F49-SUMIFS(Expenses!$E:$E,Expenses!$H:$H,A49))/F49,0))</f>
        <v/>
      </c>
    </row>
    <row r="50" spans="5:12" x14ac:dyDescent="0.25">
      <c r="E50" s="7"/>
      <c r="F50" s="4"/>
      <c r="G50" s="4"/>
      <c r="H50" s="4" t="str">
        <f t="shared" si="1"/>
        <v/>
      </c>
      <c r="J50" s="7"/>
      <c r="L50" s="5" t="str">
        <f>IF(F50="","",IFERROR((F50-SUMIFS(Expenses!$E:$E,Expenses!$H:$H,A50))/F50,0))</f>
        <v/>
      </c>
    </row>
    <row r="51" spans="5:12" x14ac:dyDescent="0.25">
      <c r="E51" s="7"/>
      <c r="F51" s="4"/>
      <c r="G51" s="4"/>
      <c r="H51" s="4" t="str">
        <f t="shared" si="1"/>
        <v/>
      </c>
      <c r="J51" s="7"/>
      <c r="L51" s="5" t="str">
        <f>IF(F51="","",IFERROR((F51-SUMIFS(Expenses!$E:$E,Expenses!$H:$H,A51))/F51,0))</f>
        <v/>
      </c>
    </row>
    <row r="52" spans="5:12" x14ac:dyDescent="0.25">
      <c r="E52" s="7"/>
      <c r="F52" s="4"/>
      <c r="G52" s="4"/>
      <c r="H52" s="4" t="str">
        <f t="shared" si="1"/>
        <v/>
      </c>
      <c r="J52" s="7"/>
      <c r="L52" s="5" t="str">
        <f>IF(F52="","",IFERROR((F52-SUMIFS(Expenses!$E:$E,Expenses!$H:$H,A52))/F52,0))</f>
        <v/>
      </c>
    </row>
    <row r="53" spans="5:12" x14ac:dyDescent="0.25">
      <c r="E53" s="7"/>
      <c r="F53" s="4"/>
      <c r="G53" s="4"/>
      <c r="H53" s="4" t="str">
        <f t="shared" si="1"/>
        <v/>
      </c>
      <c r="J53" s="7"/>
      <c r="L53" s="5" t="str">
        <f>IF(F53="","",IFERROR((F53-SUMIFS(Expenses!$E:$E,Expenses!$H:$H,A53))/F53,0))</f>
        <v/>
      </c>
    </row>
    <row r="54" spans="5:12" x14ac:dyDescent="0.25">
      <c r="E54" s="7"/>
      <c r="F54" s="4"/>
      <c r="G54" s="4"/>
      <c r="H54" s="4" t="str">
        <f t="shared" si="1"/>
        <v/>
      </c>
      <c r="J54" s="7"/>
      <c r="L54" s="5" t="str">
        <f>IF(F54="","",IFERROR((F54-SUMIFS(Expenses!$E:$E,Expenses!$H:$H,A54))/F54,0))</f>
        <v/>
      </c>
    </row>
    <row r="55" spans="5:12" x14ac:dyDescent="0.25">
      <c r="E55" s="7"/>
      <c r="F55" s="4"/>
      <c r="G55" s="4"/>
      <c r="H55" s="4" t="str">
        <f t="shared" si="1"/>
        <v/>
      </c>
      <c r="J55" s="7"/>
      <c r="L55" s="5" t="str">
        <f>IF(F55="","",IFERROR((F55-SUMIFS(Expenses!$E:$E,Expenses!$H:$H,A55))/F55,0))</f>
        <v/>
      </c>
    </row>
    <row r="56" spans="5:12" x14ac:dyDescent="0.25">
      <c r="E56" s="7"/>
      <c r="F56" s="4"/>
      <c r="G56" s="4"/>
      <c r="H56" s="4" t="str">
        <f t="shared" si="1"/>
        <v/>
      </c>
      <c r="J56" s="7"/>
      <c r="L56" s="5" t="str">
        <f>IF(F56="","",IFERROR((F56-SUMIFS(Expenses!$E:$E,Expenses!$H:$H,A56))/F56,0))</f>
        <v/>
      </c>
    </row>
    <row r="57" spans="5:12" x14ac:dyDescent="0.25">
      <c r="E57" s="7"/>
      <c r="F57" s="4"/>
      <c r="G57" s="4"/>
      <c r="H57" s="4" t="str">
        <f t="shared" si="1"/>
        <v/>
      </c>
      <c r="J57" s="7"/>
      <c r="L57" s="5" t="str">
        <f>IF(F57="","",IFERROR((F57-SUMIFS(Expenses!$E:$E,Expenses!$H:$H,A57))/F57,0))</f>
        <v/>
      </c>
    </row>
    <row r="58" spans="5:12" x14ac:dyDescent="0.25">
      <c r="E58" s="7"/>
      <c r="F58" s="4"/>
      <c r="G58" s="4"/>
      <c r="H58" s="4" t="str">
        <f t="shared" si="1"/>
        <v/>
      </c>
      <c r="J58" s="7"/>
      <c r="L58" s="5" t="str">
        <f>IF(F58="","",IFERROR((F58-SUMIFS(Expenses!$E:$E,Expenses!$H:$H,A58))/F58,0))</f>
        <v/>
      </c>
    </row>
    <row r="59" spans="5:12" x14ac:dyDescent="0.25">
      <c r="E59" s="7"/>
      <c r="F59" s="4"/>
      <c r="G59" s="4"/>
      <c r="H59" s="4" t="str">
        <f t="shared" si="1"/>
        <v/>
      </c>
      <c r="J59" s="7"/>
      <c r="L59" s="5" t="str">
        <f>IF(F59="","",IFERROR((F59-SUMIFS(Expenses!$E:$E,Expenses!$H:$H,A59))/F59,0))</f>
        <v/>
      </c>
    </row>
    <row r="60" spans="5:12" x14ac:dyDescent="0.25">
      <c r="E60" s="7"/>
      <c r="F60" s="4"/>
      <c r="G60" s="4"/>
      <c r="H60" s="4" t="str">
        <f t="shared" si="1"/>
        <v/>
      </c>
      <c r="J60" s="7"/>
      <c r="L60" s="5" t="str">
        <f>IF(F60="","",IFERROR((F60-SUMIFS(Expenses!$E:$E,Expenses!$H:$H,A60))/F60,0))</f>
        <v/>
      </c>
    </row>
    <row r="61" spans="5:12" x14ac:dyDescent="0.25">
      <c r="E61" s="7"/>
      <c r="F61" s="4"/>
      <c r="G61" s="4"/>
      <c r="H61" s="4" t="str">
        <f t="shared" si="1"/>
        <v/>
      </c>
      <c r="J61" s="7"/>
      <c r="L61" s="5" t="str">
        <f>IF(F61="","",IFERROR((F61-SUMIFS(Expenses!$E:$E,Expenses!$H:$H,A61))/F61,0))</f>
        <v/>
      </c>
    </row>
    <row r="62" spans="5:12" x14ac:dyDescent="0.25">
      <c r="E62" s="7"/>
      <c r="F62" s="4"/>
      <c r="G62" s="4"/>
      <c r="H62" s="4" t="str">
        <f t="shared" si="1"/>
        <v/>
      </c>
      <c r="J62" s="7"/>
      <c r="L62" s="5" t="str">
        <f>IF(F62="","",IFERROR((F62-SUMIFS(Expenses!$E:$E,Expenses!$H:$H,A62))/F62,0))</f>
        <v/>
      </c>
    </row>
    <row r="63" spans="5:12" x14ac:dyDescent="0.25">
      <c r="E63" s="7"/>
      <c r="F63" s="4"/>
      <c r="G63" s="4"/>
      <c r="H63" s="4" t="str">
        <f t="shared" si="1"/>
        <v/>
      </c>
      <c r="J63" s="7"/>
      <c r="L63" s="5" t="str">
        <f>IF(F63="","",IFERROR((F63-SUMIFS(Expenses!$E:$E,Expenses!$H:$H,A63))/F63,0))</f>
        <v/>
      </c>
    </row>
    <row r="64" spans="5:12" x14ac:dyDescent="0.25">
      <c r="E64" s="7"/>
      <c r="F64" s="4"/>
      <c r="G64" s="4"/>
      <c r="H64" s="4" t="str">
        <f t="shared" si="1"/>
        <v/>
      </c>
      <c r="J64" s="7"/>
      <c r="L64" s="5" t="str">
        <f>IF(F64="","",IFERROR((F64-SUMIFS(Expenses!$E:$E,Expenses!$H:$H,A64))/F64,0))</f>
        <v/>
      </c>
    </row>
    <row r="65" spans="5:12" x14ac:dyDescent="0.25">
      <c r="E65" s="7"/>
      <c r="F65" s="4"/>
      <c r="G65" s="4"/>
      <c r="H65" s="4" t="str">
        <f t="shared" si="1"/>
        <v/>
      </c>
      <c r="J65" s="7"/>
      <c r="L65" s="5" t="str">
        <f>IF(F65="","",IFERROR((F65-SUMIFS(Expenses!$E:$E,Expenses!$H:$H,A65))/F65,0))</f>
        <v/>
      </c>
    </row>
    <row r="66" spans="5:12" x14ac:dyDescent="0.25">
      <c r="E66" s="7"/>
      <c r="F66" s="4"/>
      <c r="G66" s="4"/>
      <c r="H66" s="4" t="str">
        <f t="shared" si="1"/>
        <v/>
      </c>
      <c r="J66" s="7"/>
      <c r="L66" s="5" t="str">
        <f>IF(F66="","",IFERROR((F66-SUMIFS(Expenses!$E:$E,Expenses!$H:$H,A66))/F66,0))</f>
        <v/>
      </c>
    </row>
    <row r="67" spans="5:12" x14ac:dyDescent="0.25">
      <c r="E67" s="7"/>
      <c r="F67" s="4"/>
      <c r="G67" s="4"/>
      <c r="H67" s="4" t="str">
        <f t="shared" si="1"/>
        <v/>
      </c>
      <c r="J67" s="7"/>
      <c r="L67" s="5" t="str">
        <f>IF(F67="","",IFERROR((F67-SUMIFS(Expenses!$E:$E,Expenses!$H:$H,A67))/F67,0))</f>
        <v/>
      </c>
    </row>
    <row r="68" spans="5:12" x14ac:dyDescent="0.25">
      <c r="E68" s="7"/>
      <c r="F68" s="4"/>
      <c r="G68" s="4"/>
      <c r="H68" s="4" t="str">
        <f t="shared" ref="H68:H99" si="2">IF(F68="","",F68-G68)</f>
        <v/>
      </c>
      <c r="J68" s="7"/>
      <c r="L68" s="5" t="str">
        <f>IF(F68="","",IFERROR((F68-SUMIFS(Expenses!$E:$E,Expenses!$H:$H,A68))/F68,0))</f>
        <v/>
      </c>
    </row>
    <row r="69" spans="5:12" x14ac:dyDescent="0.25">
      <c r="E69" s="7"/>
      <c r="F69" s="4"/>
      <c r="G69" s="4"/>
      <c r="H69" s="4" t="str">
        <f t="shared" si="2"/>
        <v/>
      </c>
      <c r="J69" s="7"/>
      <c r="L69" s="5" t="str">
        <f>IF(F69="","",IFERROR((F69-SUMIFS(Expenses!$E:$E,Expenses!$H:$H,A69))/F69,0))</f>
        <v/>
      </c>
    </row>
    <row r="70" spans="5:12" x14ac:dyDescent="0.25">
      <c r="E70" s="7"/>
      <c r="F70" s="4"/>
      <c r="G70" s="4"/>
      <c r="H70" s="4" t="str">
        <f t="shared" si="2"/>
        <v/>
      </c>
      <c r="J70" s="7"/>
      <c r="L70" s="5" t="str">
        <f>IF(F70="","",IFERROR((F70-SUMIFS(Expenses!$E:$E,Expenses!$H:$H,A70))/F70,0))</f>
        <v/>
      </c>
    </row>
    <row r="71" spans="5:12" x14ac:dyDescent="0.25">
      <c r="E71" s="7"/>
      <c r="F71" s="4"/>
      <c r="G71" s="4"/>
      <c r="H71" s="4" t="str">
        <f t="shared" si="2"/>
        <v/>
      </c>
      <c r="J71" s="7"/>
      <c r="L71" s="5" t="str">
        <f>IF(F71="","",IFERROR((F71-SUMIFS(Expenses!$E:$E,Expenses!$H:$H,A71))/F71,0))</f>
        <v/>
      </c>
    </row>
    <row r="72" spans="5:12" x14ac:dyDescent="0.25">
      <c r="E72" s="7"/>
      <c r="F72" s="4"/>
      <c r="G72" s="4"/>
      <c r="H72" s="4" t="str">
        <f t="shared" si="2"/>
        <v/>
      </c>
      <c r="J72" s="7"/>
      <c r="L72" s="5" t="str">
        <f>IF(F72="","",IFERROR((F72-SUMIFS(Expenses!$E:$E,Expenses!$H:$H,A72))/F72,0))</f>
        <v/>
      </c>
    </row>
    <row r="73" spans="5:12" x14ac:dyDescent="0.25">
      <c r="E73" s="7"/>
      <c r="F73" s="4"/>
      <c r="G73" s="4"/>
      <c r="H73" s="4" t="str">
        <f t="shared" si="2"/>
        <v/>
      </c>
      <c r="J73" s="7"/>
      <c r="L73" s="5" t="str">
        <f>IF(F73="","",IFERROR((F73-SUMIFS(Expenses!$E:$E,Expenses!$H:$H,A73))/F73,0))</f>
        <v/>
      </c>
    </row>
    <row r="74" spans="5:12" x14ac:dyDescent="0.25">
      <c r="E74" s="7"/>
      <c r="F74" s="4"/>
      <c r="G74" s="4"/>
      <c r="H74" s="4" t="str">
        <f t="shared" si="2"/>
        <v/>
      </c>
      <c r="J74" s="7"/>
      <c r="L74" s="5" t="str">
        <f>IF(F74="","",IFERROR((F74-SUMIFS(Expenses!$E:$E,Expenses!$H:$H,A74))/F74,0))</f>
        <v/>
      </c>
    </row>
    <row r="75" spans="5:12" x14ac:dyDescent="0.25">
      <c r="E75" s="7"/>
      <c r="F75" s="4"/>
      <c r="G75" s="4"/>
      <c r="H75" s="4" t="str">
        <f t="shared" si="2"/>
        <v/>
      </c>
      <c r="J75" s="7"/>
      <c r="L75" s="5" t="str">
        <f>IF(F75="","",IFERROR((F75-SUMIFS(Expenses!$E:$E,Expenses!$H:$H,A75))/F75,0))</f>
        <v/>
      </c>
    </row>
    <row r="76" spans="5:12" x14ac:dyDescent="0.25">
      <c r="E76" s="7"/>
      <c r="F76" s="4"/>
      <c r="G76" s="4"/>
      <c r="H76" s="4" t="str">
        <f t="shared" si="2"/>
        <v/>
      </c>
      <c r="J76" s="7"/>
      <c r="L76" s="5" t="str">
        <f>IF(F76="","",IFERROR((F76-SUMIFS(Expenses!$E:$E,Expenses!$H:$H,A76))/F76,0))</f>
        <v/>
      </c>
    </row>
    <row r="77" spans="5:12" x14ac:dyDescent="0.25">
      <c r="E77" s="7"/>
      <c r="F77" s="4"/>
      <c r="G77" s="4"/>
      <c r="H77" s="4" t="str">
        <f t="shared" si="2"/>
        <v/>
      </c>
      <c r="J77" s="7"/>
      <c r="L77" s="5" t="str">
        <f>IF(F77="","",IFERROR((F77-SUMIFS(Expenses!$E:$E,Expenses!$H:$H,A77))/F77,0))</f>
        <v/>
      </c>
    </row>
    <row r="78" spans="5:12" x14ac:dyDescent="0.25">
      <c r="E78" s="7"/>
      <c r="F78" s="4"/>
      <c r="G78" s="4"/>
      <c r="H78" s="4" t="str">
        <f t="shared" si="2"/>
        <v/>
      </c>
      <c r="J78" s="7"/>
      <c r="L78" s="5" t="str">
        <f>IF(F78="","",IFERROR((F78-SUMIFS(Expenses!$E:$E,Expenses!$H:$H,A78))/F78,0))</f>
        <v/>
      </c>
    </row>
    <row r="79" spans="5:12" x14ac:dyDescent="0.25">
      <c r="E79" s="7"/>
      <c r="F79" s="4"/>
      <c r="G79" s="4"/>
      <c r="H79" s="4" t="str">
        <f t="shared" si="2"/>
        <v/>
      </c>
      <c r="J79" s="7"/>
      <c r="L79" s="5" t="str">
        <f>IF(F79="","",IFERROR((F79-SUMIFS(Expenses!$E:$E,Expenses!$H:$H,A79))/F79,0))</f>
        <v/>
      </c>
    </row>
    <row r="80" spans="5:12" x14ac:dyDescent="0.25">
      <c r="E80" s="7"/>
      <c r="F80" s="4"/>
      <c r="G80" s="4"/>
      <c r="H80" s="4" t="str">
        <f t="shared" si="2"/>
        <v/>
      </c>
      <c r="J80" s="7"/>
      <c r="L80" s="5" t="str">
        <f>IF(F80="","",IFERROR((F80-SUMIFS(Expenses!$E:$E,Expenses!$H:$H,A80))/F80,0))</f>
        <v/>
      </c>
    </row>
    <row r="81" spans="5:12" x14ac:dyDescent="0.25">
      <c r="E81" s="7"/>
      <c r="F81" s="4"/>
      <c r="G81" s="4"/>
      <c r="H81" s="4" t="str">
        <f t="shared" si="2"/>
        <v/>
      </c>
      <c r="J81" s="7"/>
      <c r="L81" s="5" t="str">
        <f>IF(F81="","",IFERROR((F81-SUMIFS(Expenses!$E:$E,Expenses!$H:$H,A81))/F81,0))</f>
        <v/>
      </c>
    </row>
    <row r="82" spans="5:12" x14ac:dyDescent="0.25">
      <c r="E82" s="7"/>
      <c r="F82" s="4"/>
      <c r="G82" s="4"/>
      <c r="H82" s="4" t="str">
        <f t="shared" si="2"/>
        <v/>
      </c>
      <c r="J82" s="7"/>
      <c r="L82" s="5" t="str">
        <f>IF(F82="","",IFERROR((F82-SUMIFS(Expenses!$E:$E,Expenses!$H:$H,A82))/F82,0))</f>
        <v/>
      </c>
    </row>
    <row r="83" spans="5:12" x14ac:dyDescent="0.25">
      <c r="E83" s="7"/>
      <c r="F83" s="4"/>
      <c r="G83" s="4"/>
      <c r="H83" s="4" t="str">
        <f t="shared" si="2"/>
        <v/>
      </c>
      <c r="J83" s="7"/>
      <c r="L83" s="5" t="str">
        <f>IF(F83="","",IFERROR((F83-SUMIFS(Expenses!$E:$E,Expenses!$H:$H,A83))/F83,0))</f>
        <v/>
      </c>
    </row>
    <row r="84" spans="5:12" x14ac:dyDescent="0.25">
      <c r="E84" s="7"/>
      <c r="F84" s="4"/>
      <c r="G84" s="4"/>
      <c r="H84" s="4" t="str">
        <f t="shared" si="2"/>
        <v/>
      </c>
      <c r="J84" s="7"/>
      <c r="L84" s="5" t="str">
        <f>IF(F84="","",IFERROR((F84-SUMIFS(Expenses!$E:$E,Expenses!$H:$H,A84))/F84,0))</f>
        <v/>
      </c>
    </row>
    <row r="85" spans="5:12" x14ac:dyDescent="0.25">
      <c r="E85" s="7"/>
      <c r="F85" s="4"/>
      <c r="G85" s="4"/>
      <c r="H85" s="4" t="str">
        <f t="shared" si="2"/>
        <v/>
      </c>
      <c r="J85" s="7"/>
      <c r="L85" s="5" t="str">
        <f>IF(F85="","",IFERROR((F85-SUMIFS(Expenses!$E:$E,Expenses!$H:$H,A85))/F85,0))</f>
        <v/>
      </c>
    </row>
    <row r="86" spans="5:12" x14ac:dyDescent="0.25">
      <c r="E86" s="7"/>
      <c r="F86" s="4"/>
      <c r="G86" s="4"/>
      <c r="H86" s="4" t="str">
        <f t="shared" si="2"/>
        <v/>
      </c>
      <c r="J86" s="7"/>
      <c r="L86" s="5" t="str">
        <f>IF(F86="","",IFERROR((F86-SUMIFS(Expenses!$E:$E,Expenses!$H:$H,A86))/F86,0))</f>
        <v/>
      </c>
    </row>
    <row r="87" spans="5:12" x14ac:dyDescent="0.25">
      <c r="E87" s="7"/>
      <c r="F87" s="4"/>
      <c r="G87" s="4"/>
      <c r="H87" s="4" t="str">
        <f t="shared" si="2"/>
        <v/>
      </c>
      <c r="J87" s="7"/>
      <c r="L87" s="5" t="str">
        <f>IF(F87="","",IFERROR((F87-SUMIFS(Expenses!$E:$E,Expenses!$H:$H,A87))/F87,0))</f>
        <v/>
      </c>
    </row>
    <row r="88" spans="5:12" x14ac:dyDescent="0.25">
      <c r="E88" s="7"/>
      <c r="F88" s="4"/>
      <c r="G88" s="4"/>
      <c r="H88" s="4" t="str">
        <f t="shared" si="2"/>
        <v/>
      </c>
      <c r="J88" s="7"/>
      <c r="L88" s="5" t="str">
        <f>IF(F88="","",IFERROR((F88-SUMIFS(Expenses!$E:$E,Expenses!$H:$H,A88))/F88,0))</f>
        <v/>
      </c>
    </row>
    <row r="89" spans="5:12" x14ac:dyDescent="0.25">
      <c r="E89" s="7"/>
      <c r="F89" s="4"/>
      <c r="G89" s="4"/>
      <c r="H89" s="4" t="str">
        <f t="shared" si="2"/>
        <v/>
      </c>
      <c r="J89" s="7"/>
      <c r="L89" s="5" t="str">
        <f>IF(F89="","",IFERROR((F89-SUMIFS(Expenses!$E:$E,Expenses!$H:$H,A89))/F89,0))</f>
        <v/>
      </c>
    </row>
    <row r="90" spans="5:12" x14ac:dyDescent="0.25">
      <c r="E90" s="7"/>
      <c r="F90" s="4"/>
      <c r="G90" s="4"/>
      <c r="H90" s="4" t="str">
        <f t="shared" si="2"/>
        <v/>
      </c>
      <c r="J90" s="7"/>
      <c r="L90" s="5" t="str">
        <f>IF(F90="","",IFERROR((F90-SUMIFS(Expenses!$E:$E,Expenses!$H:$H,A90))/F90,0))</f>
        <v/>
      </c>
    </row>
    <row r="91" spans="5:12" x14ac:dyDescent="0.25">
      <c r="E91" s="7"/>
      <c r="F91" s="4"/>
      <c r="G91" s="4"/>
      <c r="H91" s="4" t="str">
        <f t="shared" si="2"/>
        <v/>
      </c>
      <c r="J91" s="7"/>
      <c r="L91" s="5" t="str">
        <f>IF(F91="","",IFERROR((F91-SUMIFS(Expenses!$E:$E,Expenses!$H:$H,A91))/F91,0))</f>
        <v/>
      </c>
    </row>
    <row r="92" spans="5:12" x14ac:dyDescent="0.25">
      <c r="E92" s="7"/>
      <c r="F92" s="4"/>
      <c r="G92" s="4"/>
      <c r="H92" s="4" t="str">
        <f t="shared" si="2"/>
        <v/>
      </c>
      <c r="J92" s="7"/>
      <c r="L92" s="5" t="str">
        <f>IF(F92="","",IFERROR((F92-SUMIFS(Expenses!$E:$E,Expenses!$H:$H,A92))/F92,0))</f>
        <v/>
      </c>
    </row>
    <row r="93" spans="5:12" x14ac:dyDescent="0.25">
      <c r="E93" s="7"/>
      <c r="F93" s="4"/>
      <c r="G93" s="4"/>
      <c r="H93" s="4" t="str">
        <f t="shared" si="2"/>
        <v/>
      </c>
      <c r="J93" s="7"/>
      <c r="L93" s="5" t="str">
        <f>IF(F93="","",IFERROR((F93-SUMIFS(Expenses!$E:$E,Expenses!$H:$H,A93))/F93,0))</f>
        <v/>
      </c>
    </row>
    <row r="94" spans="5:12" x14ac:dyDescent="0.25">
      <c r="E94" s="7"/>
      <c r="F94" s="4"/>
      <c r="G94" s="4"/>
      <c r="H94" s="4" t="str">
        <f t="shared" si="2"/>
        <v/>
      </c>
      <c r="J94" s="7"/>
      <c r="L94" s="5" t="str">
        <f>IF(F94="","",IFERROR((F94-SUMIFS(Expenses!$E:$E,Expenses!$H:$H,A94))/F94,0))</f>
        <v/>
      </c>
    </row>
    <row r="95" spans="5:12" x14ac:dyDescent="0.25">
      <c r="E95" s="7"/>
      <c r="F95" s="4"/>
      <c r="G95" s="4"/>
      <c r="H95" s="4" t="str">
        <f t="shared" si="2"/>
        <v/>
      </c>
      <c r="J95" s="7"/>
      <c r="L95" s="5" t="str">
        <f>IF(F95="","",IFERROR((F95-SUMIFS(Expenses!$E:$E,Expenses!$H:$H,A95))/F95,0))</f>
        <v/>
      </c>
    </row>
    <row r="96" spans="5:12" x14ac:dyDescent="0.25">
      <c r="E96" s="7"/>
      <c r="F96" s="4"/>
      <c r="G96" s="4"/>
      <c r="H96" s="4" t="str">
        <f t="shared" si="2"/>
        <v/>
      </c>
      <c r="J96" s="7"/>
      <c r="L96" s="5" t="str">
        <f>IF(F96="","",IFERROR((F96-SUMIFS(Expenses!$E:$E,Expenses!$H:$H,A96))/F96,0))</f>
        <v/>
      </c>
    </row>
    <row r="97" spans="5:12" x14ac:dyDescent="0.25">
      <c r="E97" s="7"/>
      <c r="F97" s="4"/>
      <c r="G97" s="4"/>
      <c r="H97" s="4" t="str">
        <f t="shared" si="2"/>
        <v/>
      </c>
      <c r="J97" s="7"/>
      <c r="L97" s="5" t="str">
        <f>IF(F97="","",IFERROR((F97-SUMIFS(Expenses!$E:$E,Expenses!$H:$H,A97))/F97,0))</f>
        <v/>
      </c>
    </row>
    <row r="98" spans="5:12" x14ac:dyDescent="0.25">
      <c r="E98" s="7"/>
      <c r="F98" s="4"/>
      <c r="G98" s="4"/>
      <c r="H98" s="4" t="str">
        <f t="shared" si="2"/>
        <v/>
      </c>
      <c r="J98" s="7"/>
      <c r="L98" s="5" t="str">
        <f>IF(F98="","",IFERROR((F98-SUMIFS(Expenses!$E:$E,Expenses!$H:$H,A98))/F98,0))</f>
        <v/>
      </c>
    </row>
    <row r="99" spans="5:12" x14ac:dyDescent="0.25">
      <c r="E99" s="7"/>
      <c r="F99" s="4"/>
      <c r="G99" s="4"/>
      <c r="H99" s="4" t="str">
        <f t="shared" si="2"/>
        <v/>
      </c>
      <c r="J99" s="7"/>
      <c r="L99" s="5" t="str">
        <f>IF(F99="","",IFERROR((F99-SUMIFS(Expenses!$E:$E,Expenses!$H:$H,A99))/F99,0))</f>
        <v/>
      </c>
    </row>
    <row r="100" spans="5:12" x14ac:dyDescent="0.25">
      <c r="E100" s="7"/>
      <c r="F100" s="4"/>
      <c r="G100" s="4"/>
      <c r="H100" s="4" t="str">
        <f t="shared" ref="H100:H131" si="3">IF(F100="","",F100-G100)</f>
        <v/>
      </c>
      <c r="J100" s="7"/>
      <c r="L100" s="5" t="str">
        <f>IF(F100="","",IFERROR((F100-SUMIFS(Expenses!$E:$E,Expenses!$H:$H,A100))/F100,0))</f>
        <v/>
      </c>
    </row>
    <row r="101" spans="5:12" x14ac:dyDescent="0.25">
      <c r="E101" s="7"/>
      <c r="F101" s="4"/>
      <c r="G101" s="4"/>
      <c r="H101" s="4" t="str">
        <f t="shared" si="3"/>
        <v/>
      </c>
      <c r="J101" s="7"/>
      <c r="L101" s="5" t="str">
        <f>IF(F101="","",IFERROR((F101-SUMIFS(Expenses!$E:$E,Expenses!$H:$H,A101))/F101,0))</f>
        <v/>
      </c>
    </row>
    <row r="102" spans="5:12" x14ac:dyDescent="0.25">
      <c r="E102" s="7"/>
      <c r="F102" s="4"/>
      <c r="G102" s="4"/>
      <c r="H102" s="4" t="str">
        <f t="shared" si="3"/>
        <v/>
      </c>
      <c r="J102" s="7"/>
      <c r="L102" s="5" t="str">
        <f>IF(F102="","",IFERROR((F102-SUMIFS(Expenses!$E:$E,Expenses!$H:$H,A102))/F102,0))</f>
        <v/>
      </c>
    </row>
    <row r="103" spans="5:12" x14ac:dyDescent="0.25">
      <c r="E103" s="7"/>
      <c r="F103" s="4"/>
      <c r="G103" s="4"/>
      <c r="H103" s="4" t="str">
        <f t="shared" si="3"/>
        <v/>
      </c>
      <c r="J103" s="7"/>
      <c r="L103" s="5" t="str">
        <f>IF(F103="","",IFERROR((F103-SUMIFS(Expenses!$E:$E,Expenses!$H:$H,A103))/F103,0))</f>
        <v/>
      </c>
    </row>
    <row r="104" spans="5:12" x14ac:dyDescent="0.25">
      <c r="E104" s="7"/>
      <c r="F104" s="4"/>
      <c r="G104" s="4"/>
      <c r="H104" s="4" t="str">
        <f t="shared" si="3"/>
        <v/>
      </c>
      <c r="J104" s="7"/>
      <c r="L104" s="5" t="str">
        <f>IF(F104="","",IFERROR((F104-SUMIFS(Expenses!$E:$E,Expenses!$H:$H,A104))/F104,0))</f>
        <v/>
      </c>
    </row>
    <row r="105" spans="5:12" x14ac:dyDescent="0.25">
      <c r="E105" s="7"/>
      <c r="F105" s="4"/>
      <c r="G105" s="4"/>
      <c r="H105" s="4" t="str">
        <f t="shared" si="3"/>
        <v/>
      </c>
      <c r="J105" s="7"/>
      <c r="L105" s="5" t="str">
        <f>IF(F105="","",IFERROR((F105-SUMIFS(Expenses!$E:$E,Expenses!$H:$H,A105))/F105,0))</f>
        <v/>
      </c>
    </row>
    <row r="106" spans="5:12" x14ac:dyDescent="0.25">
      <c r="E106" s="7"/>
      <c r="F106" s="4"/>
      <c r="G106" s="4"/>
      <c r="H106" s="4" t="str">
        <f t="shared" si="3"/>
        <v/>
      </c>
      <c r="J106" s="7"/>
      <c r="L106" s="5" t="str">
        <f>IF(F106="","",IFERROR((F106-SUMIFS(Expenses!$E:$E,Expenses!$H:$H,A106))/F106,0))</f>
        <v/>
      </c>
    </row>
    <row r="107" spans="5:12" x14ac:dyDescent="0.25">
      <c r="E107" s="7"/>
      <c r="F107" s="4"/>
      <c r="G107" s="4"/>
      <c r="H107" s="4" t="str">
        <f t="shared" si="3"/>
        <v/>
      </c>
      <c r="J107" s="7"/>
      <c r="L107" s="5" t="str">
        <f>IF(F107="","",IFERROR((F107-SUMIFS(Expenses!$E:$E,Expenses!$H:$H,A107))/F107,0))</f>
        <v/>
      </c>
    </row>
    <row r="108" spans="5:12" x14ac:dyDescent="0.25">
      <c r="E108" s="7"/>
      <c r="F108" s="4"/>
      <c r="G108" s="4"/>
      <c r="H108" s="4" t="str">
        <f t="shared" si="3"/>
        <v/>
      </c>
      <c r="J108" s="7"/>
      <c r="L108" s="5" t="str">
        <f>IF(F108="","",IFERROR((F108-SUMIFS(Expenses!$E:$E,Expenses!$H:$H,A108))/F108,0))</f>
        <v/>
      </c>
    </row>
    <row r="109" spans="5:12" x14ac:dyDescent="0.25">
      <c r="E109" s="7"/>
      <c r="F109" s="4"/>
      <c r="G109" s="4"/>
      <c r="H109" s="4" t="str">
        <f t="shared" si="3"/>
        <v/>
      </c>
      <c r="J109" s="7"/>
      <c r="L109" s="5" t="str">
        <f>IF(F109="","",IFERROR((F109-SUMIFS(Expenses!$E:$E,Expenses!$H:$H,A109))/F109,0))</f>
        <v/>
      </c>
    </row>
    <row r="110" spans="5:12" x14ac:dyDescent="0.25">
      <c r="E110" s="7"/>
      <c r="F110" s="4"/>
      <c r="G110" s="4"/>
      <c r="H110" s="4" t="str">
        <f t="shared" si="3"/>
        <v/>
      </c>
      <c r="J110" s="7"/>
      <c r="L110" s="5" t="str">
        <f>IF(F110="","",IFERROR((F110-SUMIFS(Expenses!$E:$E,Expenses!$H:$H,A110))/F110,0))</f>
        <v/>
      </c>
    </row>
    <row r="111" spans="5:12" x14ac:dyDescent="0.25">
      <c r="E111" s="7"/>
      <c r="F111" s="4"/>
      <c r="G111" s="4"/>
      <c r="H111" s="4" t="str">
        <f t="shared" si="3"/>
        <v/>
      </c>
      <c r="J111" s="7"/>
      <c r="L111" s="5" t="str">
        <f>IF(F111="","",IFERROR((F111-SUMIFS(Expenses!$E:$E,Expenses!$H:$H,A111))/F111,0))</f>
        <v/>
      </c>
    </row>
    <row r="112" spans="5:12" x14ac:dyDescent="0.25">
      <c r="E112" s="7"/>
      <c r="F112" s="4"/>
      <c r="G112" s="4"/>
      <c r="H112" s="4" t="str">
        <f t="shared" si="3"/>
        <v/>
      </c>
      <c r="J112" s="7"/>
      <c r="L112" s="5" t="str">
        <f>IF(F112="","",IFERROR((F112-SUMIFS(Expenses!$E:$E,Expenses!$H:$H,A112))/F112,0))</f>
        <v/>
      </c>
    </row>
    <row r="113" spans="5:12" x14ac:dyDescent="0.25">
      <c r="E113" s="7"/>
      <c r="F113" s="4"/>
      <c r="G113" s="4"/>
      <c r="H113" s="4" t="str">
        <f t="shared" si="3"/>
        <v/>
      </c>
      <c r="J113" s="7"/>
      <c r="L113" s="5" t="str">
        <f>IF(F113="","",IFERROR((F113-SUMIFS(Expenses!$E:$E,Expenses!$H:$H,A113))/F113,0))</f>
        <v/>
      </c>
    </row>
    <row r="114" spans="5:12" x14ac:dyDescent="0.25">
      <c r="E114" s="7"/>
      <c r="F114" s="4"/>
      <c r="G114" s="4"/>
      <c r="H114" s="4" t="str">
        <f t="shared" si="3"/>
        <v/>
      </c>
      <c r="J114" s="7"/>
      <c r="L114" s="5" t="str">
        <f>IF(F114="","",IFERROR((F114-SUMIFS(Expenses!$E:$E,Expenses!$H:$H,A114))/F114,0))</f>
        <v/>
      </c>
    </row>
    <row r="115" spans="5:12" x14ac:dyDescent="0.25">
      <c r="E115" s="7"/>
      <c r="F115" s="4"/>
      <c r="G115" s="4"/>
      <c r="H115" s="4" t="str">
        <f t="shared" si="3"/>
        <v/>
      </c>
      <c r="J115" s="7"/>
      <c r="L115" s="5" t="str">
        <f>IF(F115="","",IFERROR((F115-SUMIFS(Expenses!$E:$E,Expenses!$H:$H,A115))/F115,0))</f>
        <v/>
      </c>
    </row>
    <row r="116" spans="5:12" x14ac:dyDescent="0.25">
      <c r="E116" s="7"/>
      <c r="F116" s="4"/>
      <c r="G116" s="4"/>
      <c r="H116" s="4" t="str">
        <f t="shared" si="3"/>
        <v/>
      </c>
      <c r="J116" s="7"/>
      <c r="L116" s="5" t="str">
        <f>IF(F116="","",IFERROR((F116-SUMIFS(Expenses!$E:$E,Expenses!$H:$H,A116))/F116,0))</f>
        <v/>
      </c>
    </row>
    <row r="117" spans="5:12" x14ac:dyDescent="0.25">
      <c r="E117" s="7"/>
      <c r="F117" s="4"/>
      <c r="G117" s="4"/>
      <c r="H117" s="4" t="str">
        <f t="shared" si="3"/>
        <v/>
      </c>
      <c r="J117" s="7"/>
      <c r="L117" s="5" t="str">
        <f>IF(F117="","",IFERROR((F117-SUMIFS(Expenses!$E:$E,Expenses!$H:$H,A117))/F117,0))</f>
        <v/>
      </c>
    </row>
    <row r="118" spans="5:12" x14ac:dyDescent="0.25">
      <c r="E118" s="7"/>
      <c r="F118" s="4"/>
      <c r="G118" s="4"/>
      <c r="H118" s="4" t="str">
        <f t="shared" si="3"/>
        <v/>
      </c>
      <c r="J118" s="7"/>
      <c r="L118" s="5" t="str">
        <f>IF(F118="","",IFERROR((F118-SUMIFS(Expenses!$E:$E,Expenses!$H:$H,A118))/F118,0))</f>
        <v/>
      </c>
    </row>
    <row r="119" spans="5:12" x14ac:dyDescent="0.25">
      <c r="E119" s="7"/>
      <c r="F119" s="4"/>
      <c r="G119" s="4"/>
      <c r="H119" s="4" t="str">
        <f t="shared" si="3"/>
        <v/>
      </c>
      <c r="J119" s="7"/>
      <c r="L119" s="5" t="str">
        <f>IF(F119="","",IFERROR((F119-SUMIFS(Expenses!$E:$E,Expenses!$H:$H,A119))/F119,0))</f>
        <v/>
      </c>
    </row>
    <row r="120" spans="5:12" x14ac:dyDescent="0.25">
      <c r="E120" s="7"/>
      <c r="F120" s="4"/>
      <c r="G120" s="4"/>
      <c r="H120" s="4" t="str">
        <f t="shared" si="3"/>
        <v/>
      </c>
      <c r="J120" s="7"/>
      <c r="L120" s="5" t="str">
        <f>IF(F120="","",IFERROR((F120-SUMIFS(Expenses!$E:$E,Expenses!$H:$H,A120))/F120,0))</f>
        <v/>
      </c>
    </row>
    <row r="121" spans="5:12" x14ac:dyDescent="0.25">
      <c r="E121" s="7"/>
      <c r="F121" s="4"/>
      <c r="G121" s="4"/>
      <c r="H121" s="4" t="str">
        <f t="shared" si="3"/>
        <v/>
      </c>
      <c r="J121" s="7"/>
      <c r="L121" s="5" t="str">
        <f>IF(F121="","",IFERROR((F121-SUMIFS(Expenses!$E:$E,Expenses!$H:$H,A121))/F121,0))</f>
        <v/>
      </c>
    </row>
    <row r="122" spans="5:12" x14ac:dyDescent="0.25">
      <c r="E122" s="7"/>
      <c r="F122" s="4"/>
      <c r="G122" s="4"/>
      <c r="H122" s="4" t="str">
        <f t="shared" si="3"/>
        <v/>
      </c>
      <c r="J122" s="7"/>
      <c r="L122" s="5" t="str">
        <f>IF(F122="","",IFERROR((F122-SUMIFS(Expenses!$E:$E,Expenses!$H:$H,A122))/F122,0))</f>
        <v/>
      </c>
    </row>
    <row r="123" spans="5:12" x14ac:dyDescent="0.25">
      <c r="E123" s="7"/>
      <c r="F123" s="4"/>
      <c r="G123" s="4"/>
      <c r="H123" s="4" t="str">
        <f t="shared" si="3"/>
        <v/>
      </c>
      <c r="J123" s="7"/>
      <c r="L123" s="5" t="str">
        <f>IF(F123="","",IFERROR((F123-SUMIFS(Expenses!$E:$E,Expenses!$H:$H,A123))/F123,0))</f>
        <v/>
      </c>
    </row>
    <row r="124" spans="5:12" x14ac:dyDescent="0.25">
      <c r="E124" s="7"/>
      <c r="F124" s="4"/>
      <c r="G124" s="4"/>
      <c r="H124" s="4" t="str">
        <f t="shared" si="3"/>
        <v/>
      </c>
      <c r="J124" s="7"/>
      <c r="L124" s="5" t="str">
        <f>IF(F124="","",IFERROR((F124-SUMIFS(Expenses!$E:$E,Expenses!$H:$H,A124))/F124,0))</f>
        <v/>
      </c>
    </row>
    <row r="125" spans="5:12" x14ac:dyDescent="0.25">
      <c r="E125" s="7"/>
      <c r="F125" s="4"/>
      <c r="G125" s="4"/>
      <c r="H125" s="4" t="str">
        <f t="shared" si="3"/>
        <v/>
      </c>
      <c r="J125" s="7"/>
      <c r="L125" s="5" t="str">
        <f>IF(F125="","",IFERROR((F125-SUMIFS(Expenses!$E:$E,Expenses!$H:$H,A125))/F125,0))</f>
        <v/>
      </c>
    </row>
    <row r="126" spans="5:12" x14ac:dyDescent="0.25">
      <c r="E126" s="7"/>
      <c r="F126" s="4"/>
      <c r="G126" s="4"/>
      <c r="H126" s="4" t="str">
        <f t="shared" si="3"/>
        <v/>
      </c>
      <c r="J126" s="7"/>
      <c r="L126" s="5" t="str">
        <f>IF(F126="","",IFERROR((F126-SUMIFS(Expenses!$E:$E,Expenses!$H:$H,A126))/F126,0))</f>
        <v/>
      </c>
    </row>
    <row r="127" spans="5:12" x14ac:dyDescent="0.25">
      <c r="E127" s="7"/>
      <c r="F127" s="4"/>
      <c r="G127" s="4"/>
      <c r="H127" s="4" t="str">
        <f t="shared" si="3"/>
        <v/>
      </c>
      <c r="J127" s="7"/>
      <c r="L127" s="5" t="str">
        <f>IF(F127="","",IFERROR((F127-SUMIFS(Expenses!$E:$E,Expenses!$H:$H,A127))/F127,0))</f>
        <v/>
      </c>
    </row>
    <row r="128" spans="5:12" x14ac:dyDescent="0.25">
      <c r="E128" s="7"/>
      <c r="F128" s="4"/>
      <c r="G128" s="4"/>
      <c r="H128" s="4" t="str">
        <f t="shared" si="3"/>
        <v/>
      </c>
      <c r="J128" s="7"/>
      <c r="L128" s="5" t="str">
        <f>IF(F128="","",IFERROR((F128-SUMIFS(Expenses!$E:$E,Expenses!$H:$H,A128))/F128,0))</f>
        <v/>
      </c>
    </row>
    <row r="129" spans="5:12" x14ac:dyDescent="0.25">
      <c r="E129" s="7"/>
      <c r="F129" s="4"/>
      <c r="G129" s="4"/>
      <c r="H129" s="4" t="str">
        <f t="shared" si="3"/>
        <v/>
      </c>
      <c r="J129" s="7"/>
      <c r="L129" s="5" t="str">
        <f>IF(F129="","",IFERROR((F129-SUMIFS(Expenses!$E:$E,Expenses!$H:$H,A129))/F129,0))</f>
        <v/>
      </c>
    </row>
    <row r="130" spans="5:12" x14ac:dyDescent="0.25">
      <c r="E130" s="7"/>
      <c r="F130" s="4"/>
      <c r="G130" s="4"/>
      <c r="H130" s="4" t="str">
        <f t="shared" si="3"/>
        <v/>
      </c>
      <c r="J130" s="7"/>
      <c r="L130" s="5" t="str">
        <f>IF(F130="","",IFERROR((F130-SUMIFS(Expenses!$E:$E,Expenses!$H:$H,A130))/F130,0))</f>
        <v/>
      </c>
    </row>
    <row r="131" spans="5:12" x14ac:dyDescent="0.25">
      <c r="E131" s="7"/>
      <c r="F131" s="4"/>
      <c r="G131" s="4"/>
      <c r="H131" s="4" t="str">
        <f t="shared" si="3"/>
        <v/>
      </c>
      <c r="J131" s="7"/>
      <c r="L131" s="5" t="str">
        <f>IF(F131="","",IFERROR((F131-SUMIFS(Expenses!$E:$E,Expenses!$H:$H,A131))/F131,0))</f>
        <v/>
      </c>
    </row>
    <row r="132" spans="5:12" x14ac:dyDescent="0.25">
      <c r="E132" s="7"/>
      <c r="F132" s="4"/>
      <c r="G132" s="4"/>
      <c r="H132" s="4" t="str">
        <f t="shared" ref="H132:H163" si="4">IF(F132="","",F132-G132)</f>
        <v/>
      </c>
      <c r="J132" s="7"/>
      <c r="L132" s="5" t="str">
        <f>IF(F132="","",IFERROR((F132-SUMIFS(Expenses!$E:$E,Expenses!$H:$H,A132))/F132,0))</f>
        <v/>
      </c>
    </row>
    <row r="133" spans="5:12" x14ac:dyDescent="0.25">
      <c r="E133" s="7"/>
      <c r="F133" s="4"/>
      <c r="G133" s="4"/>
      <c r="H133" s="4" t="str">
        <f t="shared" si="4"/>
        <v/>
      </c>
      <c r="J133" s="7"/>
      <c r="L133" s="5" t="str">
        <f>IF(F133="","",IFERROR((F133-SUMIFS(Expenses!$E:$E,Expenses!$H:$H,A133))/F133,0))</f>
        <v/>
      </c>
    </row>
    <row r="134" spans="5:12" x14ac:dyDescent="0.25">
      <c r="E134" s="7"/>
      <c r="F134" s="4"/>
      <c r="G134" s="4"/>
      <c r="H134" s="4" t="str">
        <f t="shared" si="4"/>
        <v/>
      </c>
      <c r="J134" s="7"/>
      <c r="L134" s="5" t="str">
        <f>IF(F134="","",IFERROR((F134-SUMIFS(Expenses!$E:$E,Expenses!$H:$H,A134))/F134,0))</f>
        <v/>
      </c>
    </row>
    <row r="135" spans="5:12" x14ac:dyDescent="0.25">
      <c r="E135" s="7"/>
      <c r="F135" s="4"/>
      <c r="G135" s="4"/>
      <c r="H135" s="4" t="str">
        <f t="shared" si="4"/>
        <v/>
      </c>
      <c r="J135" s="7"/>
      <c r="L135" s="5" t="str">
        <f>IF(F135="","",IFERROR((F135-SUMIFS(Expenses!$E:$E,Expenses!$H:$H,A135))/F135,0))</f>
        <v/>
      </c>
    </row>
    <row r="136" spans="5:12" x14ac:dyDescent="0.25">
      <c r="E136" s="7"/>
      <c r="F136" s="4"/>
      <c r="G136" s="4"/>
      <c r="H136" s="4" t="str">
        <f t="shared" si="4"/>
        <v/>
      </c>
      <c r="J136" s="7"/>
      <c r="L136" s="5" t="str">
        <f>IF(F136="","",IFERROR((F136-SUMIFS(Expenses!$E:$E,Expenses!$H:$H,A136))/F136,0))</f>
        <v/>
      </c>
    </row>
    <row r="137" spans="5:12" x14ac:dyDescent="0.25">
      <c r="E137" s="7"/>
      <c r="F137" s="4"/>
      <c r="G137" s="4"/>
      <c r="H137" s="4" t="str">
        <f t="shared" si="4"/>
        <v/>
      </c>
      <c r="J137" s="7"/>
      <c r="L137" s="5" t="str">
        <f>IF(F137="","",IFERROR((F137-SUMIFS(Expenses!$E:$E,Expenses!$H:$H,A137))/F137,0))</f>
        <v/>
      </c>
    </row>
    <row r="138" spans="5:12" x14ac:dyDescent="0.25">
      <c r="E138" s="7"/>
      <c r="F138" s="4"/>
      <c r="G138" s="4"/>
      <c r="H138" s="4" t="str">
        <f t="shared" si="4"/>
        <v/>
      </c>
      <c r="J138" s="7"/>
      <c r="L138" s="5" t="str">
        <f>IF(F138="","",IFERROR((F138-SUMIFS(Expenses!$E:$E,Expenses!$H:$H,A138))/F138,0))</f>
        <v/>
      </c>
    </row>
    <row r="139" spans="5:12" x14ac:dyDescent="0.25">
      <c r="E139" s="7"/>
      <c r="F139" s="4"/>
      <c r="G139" s="4"/>
      <c r="H139" s="4" t="str">
        <f t="shared" si="4"/>
        <v/>
      </c>
      <c r="J139" s="7"/>
      <c r="L139" s="5" t="str">
        <f>IF(F139="","",IFERROR((F139-SUMIFS(Expenses!$E:$E,Expenses!$H:$H,A139))/F139,0))</f>
        <v/>
      </c>
    </row>
    <row r="140" spans="5:12" x14ac:dyDescent="0.25">
      <c r="E140" s="7"/>
      <c r="F140" s="4"/>
      <c r="G140" s="4"/>
      <c r="H140" s="4" t="str">
        <f t="shared" si="4"/>
        <v/>
      </c>
      <c r="J140" s="7"/>
      <c r="L140" s="5" t="str">
        <f>IF(F140="","",IFERROR((F140-SUMIFS(Expenses!$E:$E,Expenses!$H:$H,A140))/F140,0))</f>
        <v/>
      </c>
    </row>
    <row r="141" spans="5:12" x14ac:dyDescent="0.25">
      <c r="E141" s="7"/>
      <c r="F141" s="4"/>
      <c r="G141" s="4"/>
      <c r="H141" s="4" t="str">
        <f t="shared" si="4"/>
        <v/>
      </c>
      <c r="J141" s="7"/>
      <c r="L141" s="5" t="str">
        <f>IF(F141="","",IFERROR((F141-SUMIFS(Expenses!$E:$E,Expenses!$H:$H,A141))/F141,0))</f>
        <v/>
      </c>
    </row>
    <row r="142" spans="5:12" x14ac:dyDescent="0.25">
      <c r="E142" s="7"/>
      <c r="F142" s="4"/>
      <c r="G142" s="4"/>
      <c r="H142" s="4" t="str">
        <f t="shared" si="4"/>
        <v/>
      </c>
      <c r="J142" s="7"/>
      <c r="L142" s="5" t="str">
        <f>IF(F142="","",IFERROR((F142-SUMIFS(Expenses!$E:$E,Expenses!$H:$H,A142))/F142,0))</f>
        <v/>
      </c>
    </row>
    <row r="143" spans="5:12" x14ac:dyDescent="0.25">
      <c r="E143" s="7"/>
      <c r="F143" s="4"/>
      <c r="G143" s="4"/>
      <c r="H143" s="4" t="str">
        <f t="shared" si="4"/>
        <v/>
      </c>
      <c r="J143" s="7"/>
      <c r="L143" s="5" t="str">
        <f>IF(F143="","",IFERROR((F143-SUMIFS(Expenses!$E:$E,Expenses!$H:$H,A143))/F143,0))</f>
        <v/>
      </c>
    </row>
    <row r="144" spans="5:12" x14ac:dyDescent="0.25">
      <c r="E144" s="7"/>
      <c r="F144" s="4"/>
      <c r="G144" s="4"/>
      <c r="H144" s="4" t="str">
        <f t="shared" si="4"/>
        <v/>
      </c>
      <c r="J144" s="7"/>
      <c r="L144" s="5" t="str">
        <f>IF(F144="","",IFERROR((F144-SUMIFS(Expenses!$E:$E,Expenses!$H:$H,A144))/F144,0))</f>
        <v/>
      </c>
    </row>
    <row r="145" spans="5:12" x14ac:dyDescent="0.25">
      <c r="E145" s="7"/>
      <c r="F145" s="4"/>
      <c r="G145" s="4"/>
      <c r="H145" s="4" t="str">
        <f t="shared" si="4"/>
        <v/>
      </c>
      <c r="J145" s="7"/>
      <c r="L145" s="5" t="str">
        <f>IF(F145="","",IFERROR((F145-SUMIFS(Expenses!$E:$E,Expenses!$H:$H,A145))/F145,0))</f>
        <v/>
      </c>
    </row>
    <row r="146" spans="5:12" x14ac:dyDescent="0.25">
      <c r="E146" s="7"/>
      <c r="F146" s="4"/>
      <c r="G146" s="4"/>
      <c r="H146" s="4" t="str">
        <f t="shared" si="4"/>
        <v/>
      </c>
      <c r="J146" s="7"/>
      <c r="L146" s="5" t="str">
        <f>IF(F146="","",IFERROR((F146-SUMIFS(Expenses!$E:$E,Expenses!$H:$H,A146))/F146,0))</f>
        <v/>
      </c>
    </row>
    <row r="147" spans="5:12" x14ac:dyDescent="0.25">
      <c r="E147" s="7"/>
      <c r="F147" s="4"/>
      <c r="G147" s="4"/>
      <c r="H147" s="4" t="str">
        <f t="shared" si="4"/>
        <v/>
      </c>
      <c r="J147" s="7"/>
      <c r="L147" s="5" t="str">
        <f>IF(F147="","",IFERROR((F147-SUMIFS(Expenses!$E:$E,Expenses!$H:$H,A147))/F147,0))</f>
        <v/>
      </c>
    </row>
    <row r="148" spans="5:12" x14ac:dyDescent="0.25">
      <c r="E148" s="7"/>
      <c r="F148" s="4"/>
      <c r="G148" s="4"/>
      <c r="H148" s="4" t="str">
        <f t="shared" si="4"/>
        <v/>
      </c>
      <c r="J148" s="7"/>
      <c r="L148" s="5" t="str">
        <f>IF(F148="","",IFERROR((F148-SUMIFS(Expenses!$E:$E,Expenses!$H:$H,A148))/F148,0))</f>
        <v/>
      </c>
    </row>
    <row r="149" spans="5:12" x14ac:dyDescent="0.25">
      <c r="E149" s="7"/>
      <c r="F149" s="4"/>
      <c r="G149" s="4"/>
      <c r="H149" s="4" t="str">
        <f t="shared" si="4"/>
        <v/>
      </c>
      <c r="J149" s="7"/>
      <c r="L149" s="5" t="str">
        <f>IF(F149="","",IFERROR((F149-SUMIFS(Expenses!$E:$E,Expenses!$H:$H,A149))/F149,0))</f>
        <v/>
      </c>
    </row>
    <row r="150" spans="5:12" x14ac:dyDescent="0.25">
      <c r="E150" s="7"/>
      <c r="F150" s="4"/>
      <c r="G150" s="4"/>
      <c r="H150" s="4" t="str">
        <f t="shared" si="4"/>
        <v/>
      </c>
      <c r="J150" s="7"/>
      <c r="L150" s="5" t="str">
        <f>IF(F150="","",IFERROR((F150-SUMIFS(Expenses!$E:$E,Expenses!$H:$H,A150))/F150,0))</f>
        <v/>
      </c>
    </row>
    <row r="151" spans="5:12" x14ac:dyDescent="0.25">
      <c r="E151" s="7"/>
      <c r="F151" s="4"/>
      <c r="G151" s="4"/>
      <c r="H151" s="4" t="str">
        <f t="shared" si="4"/>
        <v/>
      </c>
      <c r="J151" s="7"/>
      <c r="L151" s="5" t="str">
        <f>IF(F151="","",IFERROR((F151-SUMIFS(Expenses!$E:$E,Expenses!$H:$H,A151))/F151,0))</f>
        <v/>
      </c>
    </row>
    <row r="152" spans="5:12" x14ac:dyDescent="0.25">
      <c r="E152" s="7"/>
      <c r="F152" s="4"/>
      <c r="G152" s="4"/>
      <c r="H152" s="4" t="str">
        <f t="shared" si="4"/>
        <v/>
      </c>
      <c r="J152" s="7"/>
      <c r="L152" s="5" t="str">
        <f>IF(F152="","",IFERROR((F152-SUMIFS(Expenses!$E:$E,Expenses!$H:$H,A152))/F152,0))</f>
        <v/>
      </c>
    </row>
    <row r="153" spans="5:12" x14ac:dyDescent="0.25">
      <c r="E153" s="7"/>
      <c r="F153" s="4"/>
      <c r="G153" s="4"/>
      <c r="H153" s="4" t="str">
        <f t="shared" si="4"/>
        <v/>
      </c>
      <c r="J153" s="7"/>
      <c r="L153" s="5" t="str">
        <f>IF(F153="","",IFERROR((F153-SUMIFS(Expenses!$E:$E,Expenses!$H:$H,A153))/F153,0))</f>
        <v/>
      </c>
    </row>
    <row r="154" spans="5:12" x14ac:dyDescent="0.25">
      <c r="E154" s="7"/>
      <c r="F154" s="4"/>
      <c r="G154" s="4"/>
      <c r="H154" s="4" t="str">
        <f t="shared" si="4"/>
        <v/>
      </c>
      <c r="J154" s="7"/>
      <c r="L154" s="5" t="str">
        <f>IF(F154="","",IFERROR((F154-SUMIFS(Expenses!$E:$E,Expenses!$H:$H,A154))/F154,0))</f>
        <v/>
      </c>
    </row>
    <row r="155" spans="5:12" x14ac:dyDescent="0.25">
      <c r="E155" s="7"/>
      <c r="F155" s="4"/>
      <c r="G155" s="4"/>
      <c r="H155" s="4" t="str">
        <f t="shared" si="4"/>
        <v/>
      </c>
      <c r="J155" s="7"/>
      <c r="L155" s="5" t="str">
        <f>IF(F155="","",IFERROR((F155-SUMIFS(Expenses!$E:$E,Expenses!$H:$H,A155))/F155,0))</f>
        <v/>
      </c>
    </row>
    <row r="156" spans="5:12" x14ac:dyDescent="0.25">
      <c r="E156" s="7"/>
      <c r="F156" s="4"/>
      <c r="G156" s="4"/>
      <c r="H156" s="4" t="str">
        <f t="shared" si="4"/>
        <v/>
      </c>
      <c r="J156" s="7"/>
      <c r="L156" s="5" t="str">
        <f>IF(F156="","",IFERROR((F156-SUMIFS(Expenses!$E:$E,Expenses!$H:$H,A156))/F156,0))</f>
        <v/>
      </c>
    </row>
    <row r="157" spans="5:12" x14ac:dyDescent="0.25">
      <c r="E157" s="7"/>
      <c r="F157" s="4"/>
      <c r="G157" s="4"/>
      <c r="H157" s="4" t="str">
        <f t="shared" si="4"/>
        <v/>
      </c>
      <c r="J157" s="7"/>
      <c r="L157" s="5" t="str">
        <f>IF(F157="","",IFERROR((F157-SUMIFS(Expenses!$E:$E,Expenses!$H:$H,A157))/F157,0))</f>
        <v/>
      </c>
    </row>
    <row r="158" spans="5:12" x14ac:dyDescent="0.25">
      <c r="E158" s="7"/>
      <c r="F158" s="4"/>
      <c r="G158" s="4"/>
      <c r="H158" s="4" t="str">
        <f t="shared" si="4"/>
        <v/>
      </c>
      <c r="J158" s="7"/>
      <c r="L158" s="5" t="str">
        <f>IF(F158="","",IFERROR((F158-SUMIFS(Expenses!$E:$E,Expenses!$H:$H,A158))/F158,0))</f>
        <v/>
      </c>
    </row>
    <row r="159" spans="5:12" x14ac:dyDescent="0.25">
      <c r="E159" s="7"/>
      <c r="F159" s="4"/>
      <c r="G159" s="4"/>
      <c r="H159" s="4" t="str">
        <f t="shared" si="4"/>
        <v/>
      </c>
      <c r="J159" s="7"/>
      <c r="L159" s="5" t="str">
        <f>IF(F159="","",IFERROR((F159-SUMIFS(Expenses!$E:$E,Expenses!$H:$H,A159))/F159,0))</f>
        <v/>
      </c>
    </row>
    <row r="160" spans="5:12" x14ac:dyDescent="0.25">
      <c r="E160" s="7"/>
      <c r="F160" s="4"/>
      <c r="G160" s="4"/>
      <c r="H160" s="4" t="str">
        <f t="shared" si="4"/>
        <v/>
      </c>
      <c r="J160" s="7"/>
      <c r="L160" s="5" t="str">
        <f>IF(F160="","",IFERROR((F160-SUMIFS(Expenses!$E:$E,Expenses!$H:$H,A160))/F160,0))</f>
        <v/>
      </c>
    </row>
    <row r="161" spans="5:12" x14ac:dyDescent="0.25">
      <c r="E161" s="7"/>
      <c r="F161" s="4"/>
      <c r="G161" s="4"/>
      <c r="H161" s="4" t="str">
        <f t="shared" si="4"/>
        <v/>
      </c>
      <c r="J161" s="7"/>
      <c r="L161" s="5" t="str">
        <f>IF(F161="","",IFERROR((F161-SUMIFS(Expenses!$E:$E,Expenses!$H:$H,A161))/F161,0))</f>
        <v/>
      </c>
    </row>
    <row r="162" spans="5:12" x14ac:dyDescent="0.25">
      <c r="E162" s="7"/>
      <c r="F162" s="4"/>
      <c r="G162" s="4"/>
      <c r="H162" s="4" t="str">
        <f t="shared" si="4"/>
        <v/>
      </c>
      <c r="J162" s="7"/>
      <c r="L162" s="5" t="str">
        <f>IF(F162="","",IFERROR((F162-SUMIFS(Expenses!$E:$E,Expenses!$H:$H,A162))/F162,0))</f>
        <v/>
      </c>
    </row>
    <row r="163" spans="5:12" x14ac:dyDescent="0.25">
      <c r="E163" s="7"/>
      <c r="F163" s="4"/>
      <c r="G163" s="4"/>
      <c r="H163" s="4" t="str">
        <f t="shared" si="4"/>
        <v/>
      </c>
      <c r="J163" s="7"/>
      <c r="L163" s="5" t="str">
        <f>IF(F163="","",IFERROR((F163-SUMIFS(Expenses!$E:$E,Expenses!$H:$H,A163))/F163,0))</f>
        <v/>
      </c>
    </row>
    <row r="164" spans="5:12" x14ac:dyDescent="0.25">
      <c r="E164" s="7"/>
      <c r="F164" s="4"/>
      <c r="G164" s="4"/>
      <c r="H164" s="4" t="str">
        <f t="shared" ref="H164:H195" si="5">IF(F164="","",F164-G164)</f>
        <v/>
      </c>
      <c r="J164" s="7"/>
      <c r="L164" s="5" t="str">
        <f>IF(F164="","",IFERROR((F164-SUMIFS(Expenses!$E:$E,Expenses!$H:$H,A164))/F164,0))</f>
        <v/>
      </c>
    </row>
    <row r="165" spans="5:12" x14ac:dyDescent="0.25">
      <c r="E165" s="7"/>
      <c r="F165" s="4"/>
      <c r="G165" s="4"/>
      <c r="H165" s="4" t="str">
        <f t="shared" si="5"/>
        <v/>
      </c>
      <c r="J165" s="7"/>
      <c r="L165" s="5" t="str">
        <f>IF(F165="","",IFERROR((F165-SUMIFS(Expenses!$E:$E,Expenses!$H:$H,A165))/F165,0))</f>
        <v/>
      </c>
    </row>
    <row r="166" spans="5:12" x14ac:dyDescent="0.25">
      <c r="E166" s="7"/>
      <c r="F166" s="4"/>
      <c r="G166" s="4"/>
      <c r="H166" s="4" t="str">
        <f t="shared" si="5"/>
        <v/>
      </c>
      <c r="J166" s="7"/>
      <c r="L166" s="5" t="str">
        <f>IF(F166="","",IFERROR((F166-SUMIFS(Expenses!$E:$E,Expenses!$H:$H,A166))/F166,0))</f>
        <v/>
      </c>
    </row>
    <row r="167" spans="5:12" x14ac:dyDescent="0.25">
      <c r="E167" s="7"/>
      <c r="F167" s="4"/>
      <c r="G167" s="4"/>
      <c r="H167" s="4" t="str">
        <f t="shared" si="5"/>
        <v/>
      </c>
      <c r="J167" s="7"/>
      <c r="L167" s="5" t="str">
        <f>IF(F167="","",IFERROR((F167-SUMIFS(Expenses!$E:$E,Expenses!$H:$H,A167))/F167,0))</f>
        <v/>
      </c>
    </row>
    <row r="168" spans="5:12" x14ac:dyDescent="0.25">
      <c r="E168" s="7"/>
      <c r="F168" s="4"/>
      <c r="G168" s="4"/>
      <c r="H168" s="4" t="str">
        <f t="shared" si="5"/>
        <v/>
      </c>
      <c r="J168" s="7"/>
      <c r="L168" s="5" t="str">
        <f>IF(F168="","",IFERROR((F168-SUMIFS(Expenses!$E:$E,Expenses!$H:$H,A168))/F168,0))</f>
        <v/>
      </c>
    </row>
    <row r="169" spans="5:12" x14ac:dyDescent="0.25">
      <c r="E169" s="7"/>
      <c r="F169" s="4"/>
      <c r="G169" s="4"/>
      <c r="H169" s="4" t="str">
        <f t="shared" si="5"/>
        <v/>
      </c>
      <c r="J169" s="7"/>
      <c r="L169" s="5" t="str">
        <f>IF(F169="","",IFERROR((F169-SUMIFS(Expenses!$E:$E,Expenses!$H:$H,A169))/F169,0))</f>
        <v/>
      </c>
    </row>
    <row r="170" spans="5:12" x14ac:dyDescent="0.25">
      <c r="E170" s="7"/>
      <c r="F170" s="4"/>
      <c r="G170" s="4"/>
      <c r="H170" s="4" t="str">
        <f t="shared" si="5"/>
        <v/>
      </c>
      <c r="J170" s="7"/>
      <c r="L170" s="5" t="str">
        <f>IF(F170="","",IFERROR((F170-SUMIFS(Expenses!$E:$E,Expenses!$H:$H,A170))/F170,0))</f>
        <v/>
      </c>
    </row>
    <row r="171" spans="5:12" x14ac:dyDescent="0.25">
      <c r="E171" s="7"/>
      <c r="F171" s="4"/>
      <c r="G171" s="4"/>
      <c r="H171" s="4" t="str">
        <f t="shared" si="5"/>
        <v/>
      </c>
      <c r="J171" s="7"/>
      <c r="L171" s="5" t="str">
        <f>IF(F171="","",IFERROR((F171-SUMIFS(Expenses!$E:$E,Expenses!$H:$H,A171))/F171,0))</f>
        <v/>
      </c>
    </row>
    <row r="172" spans="5:12" x14ac:dyDescent="0.25">
      <c r="E172" s="7"/>
      <c r="F172" s="4"/>
      <c r="G172" s="4"/>
      <c r="H172" s="4" t="str">
        <f t="shared" si="5"/>
        <v/>
      </c>
      <c r="J172" s="7"/>
      <c r="L172" s="5" t="str">
        <f>IF(F172="","",IFERROR((F172-SUMIFS(Expenses!$E:$E,Expenses!$H:$H,A172))/F172,0))</f>
        <v/>
      </c>
    </row>
    <row r="173" spans="5:12" x14ac:dyDescent="0.25">
      <c r="E173" s="7"/>
      <c r="F173" s="4"/>
      <c r="G173" s="4"/>
      <c r="H173" s="4" t="str">
        <f t="shared" si="5"/>
        <v/>
      </c>
      <c r="J173" s="7"/>
      <c r="L173" s="5" t="str">
        <f>IF(F173="","",IFERROR((F173-SUMIFS(Expenses!$E:$E,Expenses!$H:$H,A173))/F173,0))</f>
        <v/>
      </c>
    </row>
    <row r="174" spans="5:12" x14ac:dyDescent="0.25">
      <c r="E174" s="7"/>
      <c r="F174" s="4"/>
      <c r="G174" s="4"/>
      <c r="H174" s="4" t="str">
        <f t="shared" si="5"/>
        <v/>
      </c>
      <c r="J174" s="7"/>
      <c r="L174" s="5" t="str">
        <f>IF(F174="","",IFERROR((F174-SUMIFS(Expenses!$E:$E,Expenses!$H:$H,A174))/F174,0))</f>
        <v/>
      </c>
    </row>
    <row r="175" spans="5:12" x14ac:dyDescent="0.25">
      <c r="E175" s="7"/>
      <c r="F175" s="4"/>
      <c r="G175" s="4"/>
      <c r="H175" s="4" t="str">
        <f t="shared" si="5"/>
        <v/>
      </c>
      <c r="J175" s="7"/>
      <c r="L175" s="5" t="str">
        <f>IF(F175="","",IFERROR((F175-SUMIFS(Expenses!$E:$E,Expenses!$H:$H,A175))/F175,0))</f>
        <v/>
      </c>
    </row>
    <row r="176" spans="5:12" x14ac:dyDescent="0.25">
      <c r="E176" s="7"/>
      <c r="F176" s="4"/>
      <c r="G176" s="4"/>
      <c r="H176" s="4" t="str">
        <f t="shared" si="5"/>
        <v/>
      </c>
      <c r="J176" s="7"/>
      <c r="L176" s="5" t="str">
        <f>IF(F176="","",IFERROR((F176-SUMIFS(Expenses!$E:$E,Expenses!$H:$H,A176))/F176,0))</f>
        <v/>
      </c>
    </row>
    <row r="177" spans="5:12" x14ac:dyDescent="0.25">
      <c r="E177" s="7"/>
      <c r="F177" s="4"/>
      <c r="G177" s="4"/>
      <c r="H177" s="4" t="str">
        <f t="shared" si="5"/>
        <v/>
      </c>
      <c r="J177" s="7"/>
      <c r="L177" s="5" t="str">
        <f>IF(F177="","",IFERROR((F177-SUMIFS(Expenses!$E:$E,Expenses!$H:$H,A177))/F177,0))</f>
        <v/>
      </c>
    </row>
    <row r="178" spans="5:12" x14ac:dyDescent="0.25">
      <c r="E178" s="7"/>
      <c r="F178" s="4"/>
      <c r="G178" s="4"/>
      <c r="H178" s="4" t="str">
        <f t="shared" si="5"/>
        <v/>
      </c>
      <c r="J178" s="7"/>
      <c r="L178" s="5" t="str">
        <f>IF(F178="","",IFERROR((F178-SUMIFS(Expenses!$E:$E,Expenses!$H:$H,A178))/F178,0))</f>
        <v/>
      </c>
    </row>
    <row r="179" spans="5:12" x14ac:dyDescent="0.25">
      <c r="E179" s="7"/>
      <c r="F179" s="4"/>
      <c r="G179" s="4"/>
      <c r="H179" s="4" t="str">
        <f t="shared" si="5"/>
        <v/>
      </c>
      <c r="J179" s="7"/>
      <c r="L179" s="5" t="str">
        <f>IF(F179="","",IFERROR((F179-SUMIFS(Expenses!$E:$E,Expenses!$H:$H,A179))/F179,0))</f>
        <v/>
      </c>
    </row>
    <row r="180" spans="5:12" x14ac:dyDescent="0.25">
      <c r="E180" s="7"/>
      <c r="F180" s="4"/>
      <c r="G180" s="4"/>
      <c r="H180" s="4" t="str">
        <f t="shared" si="5"/>
        <v/>
      </c>
      <c r="J180" s="7"/>
      <c r="L180" s="5" t="str">
        <f>IF(F180="","",IFERROR((F180-SUMIFS(Expenses!$E:$E,Expenses!$H:$H,A180))/F180,0))</f>
        <v/>
      </c>
    </row>
    <row r="181" spans="5:12" x14ac:dyDescent="0.25">
      <c r="E181" s="7"/>
      <c r="F181" s="4"/>
      <c r="G181" s="4"/>
      <c r="H181" s="4" t="str">
        <f t="shared" si="5"/>
        <v/>
      </c>
      <c r="J181" s="7"/>
      <c r="L181" s="5" t="str">
        <f>IF(F181="","",IFERROR((F181-SUMIFS(Expenses!$E:$E,Expenses!$H:$H,A181))/F181,0))</f>
        <v/>
      </c>
    </row>
    <row r="182" spans="5:12" x14ac:dyDescent="0.25">
      <c r="E182" s="7"/>
      <c r="F182" s="4"/>
      <c r="G182" s="4"/>
      <c r="H182" s="4" t="str">
        <f t="shared" si="5"/>
        <v/>
      </c>
      <c r="J182" s="7"/>
      <c r="L182" s="5" t="str">
        <f>IF(F182="","",IFERROR((F182-SUMIFS(Expenses!$E:$E,Expenses!$H:$H,A182))/F182,0))</f>
        <v/>
      </c>
    </row>
    <row r="183" spans="5:12" x14ac:dyDescent="0.25">
      <c r="E183" s="7"/>
      <c r="F183" s="4"/>
      <c r="G183" s="4"/>
      <c r="H183" s="4" t="str">
        <f t="shared" si="5"/>
        <v/>
      </c>
      <c r="J183" s="7"/>
      <c r="L183" s="5" t="str">
        <f>IF(F183="","",IFERROR((F183-SUMIFS(Expenses!$E:$E,Expenses!$H:$H,A183))/F183,0))</f>
        <v/>
      </c>
    </row>
    <row r="184" spans="5:12" x14ac:dyDescent="0.25">
      <c r="E184" s="7"/>
      <c r="F184" s="4"/>
      <c r="G184" s="4"/>
      <c r="H184" s="4" t="str">
        <f t="shared" si="5"/>
        <v/>
      </c>
      <c r="J184" s="7"/>
      <c r="L184" s="5" t="str">
        <f>IF(F184="","",IFERROR((F184-SUMIFS(Expenses!$E:$E,Expenses!$H:$H,A184))/F184,0))</f>
        <v/>
      </c>
    </row>
    <row r="185" spans="5:12" x14ac:dyDescent="0.25">
      <c r="E185" s="7"/>
      <c r="F185" s="4"/>
      <c r="G185" s="4"/>
      <c r="H185" s="4" t="str">
        <f t="shared" si="5"/>
        <v/>
      </c>
      <c r="J185" s="7"/>
      <c r="L185" s="5" t="str">
        <f>IF(F185="","",IFERROR((F185-SUMIFS(Expenses!$E:$E,Expenses!$H:$H,A185))/F185,0))</f>
        <v/>
      </c>
    </row>
    <row r="186" spans="5:12" x14ac:dyDescent="0.25">
      <c r="E186" s="7"/>
      <c r="F186" s="4"/>
      <c r="G186" s="4"/>
      <c r="H186" s="4" t="str">
        <f t="shared" si="5"/>
        <v/>
      </c>
      <c r="J186" s="7"/>
      <c r="L186" s="5" t="str">
        <f>IF(F186="","",IFERROR((F186-SUMIFS(Expenses!$E:$E,Expenses!$H:$H,A186))/F186,0))</f>
        <v/>
      </c>
    </row>
    <row r="187" spans="5:12" x14ac:dyDescent="0.25">
      <c r="E187" s="7"/>
      <c r="F187" s="4"/>
      <c r="G187" s="4"/>
      <c r="H187" s="4" t="str">
        <f t="shared" si="5"/>
        <v/>
      </c>
      <c r="J187" s="7"/>
      <c r="L187" s="5" t="str">
        <f>IF(F187="","",IFERROR((F187-SUMIFS(Expenses!$E:$E,Expenses!$H:$H,A187))/F187,0))</f>
        <v/>
      </c>
    </row>
    <row r="188" spans="5:12" x14ac:dyDescent="0.25">
      <c r="E188" s="7"/>
      <c r="F188" s="4"/>
      <c r="G188" s="4"/>
      <c r="H188" s="4" t="str">
        <f t="shared" si="5"/>
        <v/>
      </c>
      <c r="J188" s="7"/>
      <c r="L188" s="5" t="str">
        <f>IF(F188="","",IFERROR((F188-SUMIFS(Expenses!$E:$E,Expenses!$H:$H,A188))/F188,0))</f>
        <v/>
      </c>
    </row>
    <row r="189" spans="5:12" x14ac:dyDescent="0.25">
      <c r="E189" s="7"/>
      <c r="F189" s="4"/>
      <c r="G189" s="4"/>
      <c r="H189" s="4" t="str">
        <f t="shared" si="5"/>
        <v/>
      </c>
      <c r="J189" s="7"/>
      <c r="L189" s="5" t="str">
        <f>IF(F189="","",IFERROR((F189-SUMIFS(Expenses!$E:$E,Expenses!$H:$H,A189))/F189,0))</f>
        <v/>
      </c>
    </row>
    <row r="190" spans="5:12" x14ac:dyDescent="0.25">
      <c r="E190" s="7"/>
      <c r="F190" s="4"/>
      <c r="G190" s="4"/>
      <c r="H190" s="4" t="str">
        <f t="shared" si="5"/>
        <v/>
      </c>
      <c r="J190" s="7"/>
      <c r="L190" s="5" t="str">
        <f>IF(F190="","",IFERROR((F190-SUMIFS(Expenses!$E:$E,Expenses!$H:$H,A190))/F190,0))</f>
        <v/>
      </c>
    </row>
    <row r="191" spans="5:12" x14ac:dyDescent="0.25">
      <c r="E191" s="7"/>
      <c r="F191" s="4"/>
      <c r="G191" s="4"/>
      <c r="H191" s="4" t="str">
        <f t="shared" si="5"/>
        <v/>
      </c>
      <c r="J191" s="7"/>
      <c r="L191" s="5" t="str">
        <f>IF(F191="","",IFERROR((F191-SUMIFS(Expenses!$E:$E,Expenses!$H:$H,A191))/F191,0))</f>
        <v/>
      </c>
    </row>
    <row r="192" spans="5:12" x14ac:dyDescent="0.25">
      <c r="E192" s="7"/>
      <c r="F192" s="4"/>
      <c r="G192" s="4"/>
      <c r="H192" s="4" t="str">
        <f t="shared" si="5"/>
        <v/>
      </c>
      <c r="J192" s="7"/>
      <c r="L192" s="5" t="str">
        <f>IF(F192="","",IFERROR((F192-SUMIFS(Expenses!$E:$E,Expenses!$H:$H,A192))/F192,0))</f>
        <v/>
      </c>
    </row>
    <row r="193" spans="5:12" x14ac:dyDescent="0.25">
      <c r="E193" s="7"/>
      <c r="F193" s="4"/>
      <c r="G193" s="4"/>
      <c r="H193" s="4" t="str">
        <f t="shared" si="5"/>
        <v/>
      </c>
      <c r="J193" s="7"/>
      <c r="L193" s="5" t="str">
        <f>IF(F193="","",IFERROR((F193-SUMIFS(Expenses!$E:$E,Expenses!$H:$H,A193))/F193,0))</f>
        <v/>
      </c>
    </row>
    <row r="194" spans="5:12" x14ac:dyDescent="0.25">
      <c r="E194" s="7"/>
      <c r="F194" s="4"/>
      <c r="G194" s="4"/>
      <c r="H194" s="4" t="str">
        <f t="shared" si="5"/>
        <v/>
      </c>
      <c r="J194" s="7"/>
      <c r="L194" s="5" t="str">
        <f>IF(F194="","",IFERROR((F194-SUMIFS(Expenses!$E:$E,Expenses!$H:$H,A194))/F194,0))</f>
        <v/>
      </c>
    </row>
    <row r="195" spans="5:12" x14ac:dyDescent="0.25">
      <c r="E195" s="7"/>
      <c r="F195" s="4"/>
      <c r="G195" s="4"/>
      <c r="H195" s="4" t="str">
        <f t="shared" si="5"/>
        <v/>
      </c>
      <c r="J195" s="7"/>
      <c r="L195" s="5" t="str">
        <f>IF(F195="","",IFERROR((F195-SUMIFS(Expenses!$E:$E,Expenses!$H:$H,A195))/F195,0))</f>
        <v/>
      </c>
    </row>
    <row r="196" spans="5:12" x14ac:dyDescent="0.25">
      <c r="E196" s="7"/>
      <c r="F196" s="4"/>
      <c r="G196" s="4"/>
      <c r="H196" s="4" t="str">
        <f t="shared" ref="H196:H203" si="6">IF(F196="","",F196-G196)</f>
        <v/>
      </c>
      <c r="J196" s="7"/>
      <c r="L196" s="5" t="str">
        <f>IF(F196="","",IFERROR((F196-SUMIFS(Expenses!$E:$E,Expenses!$H:$H,A196))/F196,0))</f>
        <v/>
      </c>
    </row>
    <row r="197" spans="5:12" x14ac:dyDescent="0.25">
      <c r="E197" s="7"/>
      <c r="F197" s="4"/>
      <c r="G197" s="4"/>
      <c r="H197" s="4" t="str">
        <f t="shared" si="6"/>
        <v/>
      </c>
      <c r="J197" s="7"/>
      <c r="L197" s="5" t="str">
        <f>IF(F197="","",IFERROR((F197-SUMIFS(Expenses!$E:$E,Expenses!$H:$H,A197))/F197,0))</f>
        <v/>
      </c>
    </row>
    <row r="198" spans="5:12" x14ac:dyDescent="0.25">
      <c r="E198" s="7"/>
      <c r="F198" s="4"/>
      <c r="G198" s="4"/>
      <c r="H198" s="4" t="str">
        <f t="shared" si="6"/>
        <v/>
      </c>
      <c r="J198" s="7"/>
      <c r="L198" s="5" t="str">
        <f>IF(F198="","",IFERROR((F198-SUMIFS(Expenses!$E:$E,Expenses!$H:$H,A198))/F198,0))</f>
        <v/>
      </c>
    </row>
    <row r="199" spans="5:12" x14ac:dyDescent="0.25">
      <c r="E199" s="7"/>
      <c r="F199" s="4"/>
      <c r="G199" s="4"/>
      <c r="H199" s="4" t="str">
        <f t="shared" si="6"/>
        <v/>
      </c>
      <c r="J199" s="7"/>
      <c r="L199" s="5" t="str">
        <f>IF(F199="","",IFERROR((F199-SUMIFS(Expenses!$E:$E,Expenses!$H:$H,A199))/F199,0))</f>
        <v/>
      </c>
    </row>
    <row r="200" spans="5:12" x14ac:dyDescent="0.25">
      <c r="E200" s="7"/>
      <c r="F200" s="4"/>
      <c r="G200" s="4"/>
      <c r="H200" s="4" t="str">
        <f t="shared" si="6"/>
        <v/>
      </c>
      <c r="J200" s="7"/>
      <c r="L200" s="5" t="str">
        <f>IF(F200="","",IFERROR((F200-SUMIFS(Expenses!$E:$E,Expenses!$H:$H,A200))/F200,0))</f>
        <v/>
      </c>
    </row>
    <row r="201" spans="5:12" x14ac:dyDescent="0.25">
      <c r="E201" s="7"/>
      <c r="F201" s="4"/>
      <c r="G201" s="4"/>
      <c r="H201" s="4" t="str">
        <f t="shared" si="6"/>
        <v/>
      </c>
      <c r="J201" s="7"/>
      <c r="L201" s="5" t="str">
        <f>IF(F201="","",IFERROR((F201-SUMIFS(Expenses!$E:$E,Expenses!$H:$H,A201))/F201,0))</f>
        <v/>
      </c>
    </row>
    <row r="202" spans="5:12" x14ac:dyDescent="0.25">
      <c r="E202" s="7"/>
      <c r="F202" s="4"/>
      <c r="G202" s="4"/>
      <c r="H202" s="4" t="str">
        <f t="shared" si="6"/>
        <v/>
      </c>
      <c r="J202" s="7"/>
      <c r="L202" s="5" t="str">
        <f>IF(F202="","",IFERROR((F202-SUMIFS(Expenses!$E:$E,Expenses!$H:$H,A202))/F202,0))</f>
        <v/>
      </c>
    </row>
    <row r="203" spans="5:12" x14ac:dyDescent="0.25">
      <c r="E203" s="7"/>
      <c r="F203" s="4"/>
      <c r="G203" s="4"/>
      <c r="H203" s="4" t="str">
        <f t="shared" si="6"/>
        <v/>
      </c>
      <c r="J203" s="7"/>
      <c r="L203" s="5" t="str">
        <f>IF(F203="","",IFERROR((F203-SUMIFS(Expenses!$E:$E,Expenses!$H:$H,A203))/F203,0))</f>
        <v/>
      </c>
    </row>
  </sheetData>
  <mergeCells count="1">
    <mergeCell ref="A1:L1"/>
  </mergeCells>
  <dataValidations count="1">
    <dataValidation type="list" allowBlank="1" sqref="I4:I203" xr:uid="{00000000-0002-0000-0200-000000000000}">
      <formula1>"جديد,قيد التنفيذ,مكتمل,متوقف,ملغي"</formula1>
    </dataValidation>
  </dataValidations>
  <pageMargins left="0.25" right="0.2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3"/>
  <sheetViews>
    <sheetView rightToLeft="1" topLeftCell="B1"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14" customWidth="1"/>
    <col min="2" max="2" width="13" customWidth="1"/>
    <col min="3" max="3" width="22" customWidth="1"/>
    <col min="4" max="4" width="32" customWidth="1"/>
    <col min="5" max="5" width="16" customWidth="1"/>
    <col min="6" max="6" width="18" customWidth="1"/>
    <col min="7" max="7" width="24" customWidth="1"/>
    <col min="8" max="8" width="18" customWidth="1"/>
    <col min="9" max="9" width="12" customWidth="1"/>
    <col min="10" max="10" width="39.5703125" bestFit="1" customWidth="1"/>
  </cols>
  <sheetData>
    <row r="1" spans="1:10" ht="30" customHeight="1" x14ac:dyDescent="0.35">
      <c r="A1" s="21" t="s">
        <v>33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A3" s="8" t="s">
        <v>34</v>
      </c>
      <c r="B3" s="8" t="s">
        <v>35</v>
      </c>
      <c r="C3" s="8" t="s">
        <v>36</v>
      </c>
      <c r="D3" s="8" t="s">
        <v>37</v>
      </c>
      <c r="E3" s="8" t="s">
        <v>14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31</v>
      </c>
    </row>
    <row r="4" spans="1:10" x14ac:dyDescent="0.25">
      <c r="A4" s="24">
        <v>1</v>
      </c>
      <c r="B4" s="25">
        <v>46278</v>
      </c>
      <c r="C4" s="24" t="s">
        <v>76</v>
      </c>
      <c r="D4" s="24" t="s">
        <v>77</v>
      </c>
      <c r="E4" s="26">
        <v>450</v>
      </c>
      <c r="F4" s="24" t="s">
        <v>78</v>
      </c>
      <c r="G4" s="24" t="s">
        <v>79</v>
      </c>
      <c r="H4" s="24" t="s">
        <v>80</v>
      </c>
      <c r="I4" s="24" t="s">
        <v>81</v>
      </c>
      <c r="J4" s="24" t="s">
        <v>82</v>
      </c>
    </row>
    <row r="5" spans="1:10" x14ac:dyDescent="0.25">
      <c r="A5" s="24"/>
      <c r="B5" s="25"/>
      <c r="C5" s="24"/>
      <c r="D5" s="24"/>
      <c r="E5" s="26"/>
      <c r="F5" s="24"/>
      <c r="G5" s="24"/>
      <c r="H5" s="24"/>
      <c r="I5" s="24"/>
      <c r="J5" s="24"/>
    </row>
    <row r="6" spans="1:10" x14ac:dyDescent="0.25">
      <c r="A6" s="24"/>
      <c r="B6" s="25"/>
      <c r="C6" s="24"/>
      <c r="D6" s="24"/>
      <c r="E6" s="26"/>
      <c r="F6" s="24"/>
      <c r="G6" s="24"/>
      <c r="H6" s="24"/>
      <c r="I6" s="24"/>
      <c r="J6" s="24"/>
    </row>
    <row r="7" spans="1:10" x14ac:dyDescent="0.25">
      <c r="A7" s="24"/>
      <c r="B7" s="25"/>
      <c r="C7" s="24"/>
      <c r="D7" s="24"/>
      <c r="E7" s="26"/>
      <c r="F7" s="24"/>
      <c r="G7" s="24"/>
      <c r="H7" s="24"/>
      <c r="I7" s="24"/>
      <c r="J7" s="24"/>
    </row>
    <row r="8" spans="1:10" x14ac:dyDescent="0.25">
      <c r="A8" s="24"/>
      <c r="B8" s="25"/>
      <c r="C8" s="24"/>
      <c r="D8" s="24"/>
      <c r="E8" s="26"/>
      <c r="F8" s="24"/>
      <c r="G8" s="24"/>
      <c r="H8" s="24"/>
      <c r="I8" s="24"/>
      <c r="J8" s="24"/>
    </row>
    <row r="9" spans="1:10" x14ac:dyDescent="0.25">
      <c r="A9" s="24"/>
      <c r="B9" s="25"/>
      <c r="C9" s="24"/>
      <c r="D9" s="24"/>
      <c r="E9" s="26"/>
      <c r="F9" s="24"/>
      <c r="G9" s="24"/>
      <c r="H9" s="24"/>
      <c r="I9" s="24"/>
      <c r="J9" s="24"/>
    </row>
    <row r="10" spans="1:10" x14ac:dyDescent="0.25">
      <c r="A10" s="24"/>
      <c r="B10" s="25"/>
      <c r="C10" s="24"/>
      <c r="D10" s="24"/>
      <c r="E10" s="26"/>
      <c r="F10" s="24"/>
      <c r="G10" s="24"/>
      <c r="H10" s="24"/>
      <c r="I10" s="24"/>
      <c r="J10" s="24"/>
    </row>
    <row r="11" spans="1:10" x14ac:dyDescent="0.25">
      <c r="A11" s="24"/>
      <c r="B11" s="25"/>
      <c r="C11" s="24"/>
      <c r="D11" s="24"/>
      <c r="E11" s="26"/>
      <c r="F11" s="24"/>
      <c r="G11" s="24"/>
      <c r="H11" s="24"/>
      <c r="I11" s="24"/>
      <c r="J11" s="24"/>
    </row>
    <row r="12" spans="1:10" x14ac:dyDescent="0.25">
      <c r="A12" s="24"/>
      <c r="B12" s="25"/>
      <c r="C12" s="24"/>
      <c r="D12" s="24"/>
      <c r="E12" s="26"/>
      <c r="F12" s="24"/>
      <c r="G12" s="24"/>
      <c r="H12" s="24"/>
      <c r="I12" s="24"/>
      <c r="J12" s="24"/>
    </row>
    <row r="13" spans="1:10" x14ac:dyDescent="0.25">
      <c r="A13" s="24"/>
      <c r="B13" s="25"/>
      <c r="C13" s="24"/>
      <c r="D13" s="24"/>
      <c r="E13" s="26"/>
      <c r="F13" s="24"/>
      <c r="G13" s="24"/>
      <c r="H13" s="24"/>
      <c r="I13" s="24"/>
      <c r="J13" s="24"/>
    </row>
    <row r="14" spans="1:10" x14ac:dyDescent="0.25">
      <c r="A14" s="24"/>
      <c r="B14" s="25"/>
      <c r="C14" s="24"/>
      <c r="D14" s="24"/>
      <c r="E14" s="26"/>
      <c r="F14" s="24"/>
      <c r="G14" s="24"/>
      <c r="H14" s="24"/>
      <c r="I14" s="24"/>
      <c r="J14" s="24"/>
    </row>
    <row r="15" spans="1:10" x14ac:dyDescent="0.25">
      <c r="A15" s="24"/>
      <c r="B15" s="25"/>
      <c r="C15" s="24"/>
      <c r="D15" s="24"/>
      <c r="E15" s="26"/>
      <c r="F15" s="24"/>
      <c r="G15" s="24"/>
      <c r="H15" s="24"/>
      <c r="I15" s="24"/>
      <c r="J15" s="24"/>
    </row>
    <row r="16" spans="1:10" x14ac:dyDescent="0.25">
      <c r="A16" s="24"/>
      <c r="B16" s="25"/>
      <c r="C16" s="24"/>
      <c r="D16" s="24"/>
      <c r="E16" s="26"/>
      <c r="F16" s="24"/>
      <c r="G16" s="24"/>
      <c r="H16" s="24"/>
      <c r="I16" s="24"/>
      <c r="J16" s="24"/>
    </row>
    <row r="17" spans="1:10" x14ac:dyDescent="0.25">
      <c r="A17" s="24"/>
      <c r="B17" s="25"/>
      <c r="C17" s="24"/>
      <c r="D17" s="24"/>
      <c r="E17" s="26"/>
      <c r="F17" s="24"/>
      <c r="G17" s="24"/>
      <c r="H17" s="24"/>
      <c r="I17" s="24"/>
      <c r="J17" s="24"/>
    </row>
    <row r="18" spans="1:10" x14ac:dyDescent="0.25">
      <c r="A18" s="24"/>
      <c r="B18" s="25"/>
      <c r="C18" s="24"/>
      <c r="D18" s="24"/>
      <c r="E18" s="26"/>
      <c r="F18" s="24"/>
      <c r="G18" s="24"/>
      <c r="H18" s="24"/>
      <c r="I18" s="24"/>
      <c r="J18" s="24"/>
    </row>
    <row r="19" spans="1:10" x14ac:dyDescent="0.25">
      <c r="A19" s="24"/>
      <c r="B19" s="25"/>
      <c r="C19" s="24"/>
      <c r="D19" s="24"/>
      <c r="E19" s="26"/>
      <c r="F19" s="24"/>
      <c r="G19" s="24"/>
      <c r="H19" s="24"/>
      <c r="I19" s="24"/>
      <c r="J19" s="24"/>
    </row>
    <row r="20" spans="1:10" x14ac:dyDescent="0.25">
      <c r="A20" s="24"/>
      <c r="B20" s="25"/>
      <c r="C20" s="24"/>
      <c r="D20" s="24"/>
      <c r="E20" s="26"/>
      <c r="F20" s="24"/>
      <c r="G20" s="24"/>
      <c r="H20" s="24"/>
      <c r="I20" s="24"/>
      <c r="J20" s="24"/>
    </row>
    <row r="21" spans="1:10" x14ac:dyDescent="0.25">
      <c r="A21" s="24"/>
      <c r="B21" s="25"/>
      <c r="C21" s="24"/>
      <c r="D21" s="24"/>
      <c r="E21" s="26"/>
      <c r="F21" s="24"/>
      <c r="G21" s="24"/>
      <c r="H21" s="24"/>
      <c r="I21" s="24"/>
      <c r="J21" s="24"/>
    </row>
    <row r="22" spans="1:10" x14ac:dyDescent="0.25">
      <c r="A22" s="24"/>
      <c r="B22" s="25"/>
      <c r="C22" s="24"/>
      <c r="D22" s="24"/>
      <c r="E22" s="26"/>
      <c r="F22" s="24"/>
      <c r="G22" s="24"/>
      <c r="H22" s="24"/>
      <c r="I22" s="24"/>
      <c r="J22" s="24"/>
    </row>
    <row r="23" spans="1:10" x14ac:dyDescent="0.25">
      <c r="A23" s="24"/>
      <c r="B23" s="25"/>
      <c r="C23" s="24"/>
      <c r="D23" s="24"/>
      <c r="E23" s="26"/>
      <c r="F23" s="24"/>
      <c r="G23" s="24"/>
      <c r="H23" s="24"/>
      <c r="I23" s="24"/>
      <c r="J23" s="24"/>
    </row>
    <row r="24" spans="1:10" x14ac:dyDescent="0.25">
      <c r="A24" s="24"/>
      <c r="B24" s="25"/>
      <c r="C24" s="24"/>
      <c r="D24" s="24"/>
      <c r="E24" s="26"/>
      <c r="F24" s="24"/>
      <c r="G24" s="24"/>
      <c r="H24" s="24"/>
      <c r="I24" s="24"/>
      <c r="J24" s="24"/>
    </row>
    <row r="25" spans="1:10" x14ac:dyDescent="0.25">
      <c r="A25" s="24"/>
      <c r="B25" s="25"/>
      <c r="C25" s="24"/>
      <c r="D25" s="24"/>
      <c r="E25" s="26"/>
      <c r="F25" s="24"/>
      <c r="G25" s="24"/>
      <c r="H25" s="24"/>
      <c r="I25" s="24"/>
      <c r="J25" s="24"/>
    </row>
    <row r="26" spans="1:10" x14ac:dyDescent="0.25">
      <c r="A26" s="24"/>
      <c r="B26" s="25"/>
      <c r="C26" s="24"/>
      <c r="D26" s="24"/>
      <c r="E26" s="26"/>
      <c r="F26" s="24"/>
      <c r="G26" s="24"/>
      <c r="H26" s="24"/>
      <c r="I26" s="24"/>
      <c r="J26" s="24"/>
    </row>
    <row r="27" spans="1:10" x14ac:dyDescent="0.25">
      <c r="A27" s="24"/>
      <c r="B27" s="25"/>
      <c r="C27" s="24"/>
      <c r="D27" s="24"/>
      <c r="E27" s="26"/>
      <c r="F27" s="24"/>
      <c r="G27" s="24"/>
      <c r="H27" s="24"/>
      <c r="I27" s="24"/>
      <c r="J27" s="24"/>
    </row>
    <row r="28" spans="1:10" x14ac:dyDescent="0.25">
      <c r="A28" s="24"/>
      <c r="B28" s="25"/>
      <c r="C28" s="24"/>
      <c r="D28" s="24"/>
      <c r="E28" s="26"/>
      <c r="F28" s="24"/>
      <c r="G28" s="24"/>
      <c r="H28" s="24"/>
      <c r="I28" s="24"/>
      <c r="J28" s="24"/>
    </row>
    <row r="29" spans="1:10" x14ac:dyDescent="0.25">
      <c r="A29" s="24"/>
      <c r="B29" s="25"/>
      <c r="C29" s="24"/>
      <c r="D29" s="24"/>
      <c r="E29" s="26"/>
      <c r="F29" s="24"/>
      <c r="G29" s="24"/>
      <c r="H29" s="24"/>
      <c r="I29" s="24"/>
      <c r="J29" s="24"/>
    </row>
    <row r="30" spans="1:10" x14ac:dyDescent="0.25">
      <c r="A30" s="24"/>
      <c r="B30" s="25"/>
      <c r="C30" s="24"/>
      <c r="D30" s="24"/>
      <c r="E30" s="26"/>
      <c r="F30" s="24"/>
      <c r="G30" s="24"/>
      <c r="H30" s="24"/>
      <c r="I30" s="24"/>
      <c r="J30" s="24"/>
    </row>
    <row r="31" spans="1:10" x14ac:dyDescent="0.25">
      <c r="A31" s="24"/>
      <c r="B31" s="25"/>
      <c r="C31" s="24"/>
      <c r="D31" s="24"/>
      <c r="E31" s="26"/>
      <c r="F31" s="24"/>
      <c r="G31" s="24"/>
      <c r="H31" s="24"/>
      <c r="I31" s="24"/>
      <c r="J31" s="24"/>
    </row>
    <row r="32" spans="1:10" x14ac:dyDescent="0.25">
      <c r="A32" s="24"/>
      <c r="B32" s="25"/>
      <c r="C32" s="24"/>
      <c r="D32" s="24"/>
      <c r="E32" s="26"/>
      <c r="F32" s="24"/>
      <c r="G32" s="24"/>
      <c r="H32" s="24"/>
      <c r="I32" s="24"/>
      <c r="J32" s="24"/>
    </row>
    <row r="33" spans="1:10" x14ac:dyDescent="0.25">
      <c r="A33" s="24"/>
      <c r="B33" s="25"/>
      <c r="C33" s="24"/>
      <c r="D33" s="24"/>
      <c r="E33" s="26"/>
      <c r="F33" s="24"/>
      <c r="G33" s="24"/>
      <c r="H33" s="24"/>
      <c r="I33" s="24"/>
      <c r="J33" s="24"/>
    </row>
    <row r="34" spans="1:10" x14ac:dyDescent="0.25">
      <c r="A34" s="24"/>
      <c r="B34" s="25"/>
      <c r="C34" s="24"/>
      <c r="D34" s="24"/>
      <c r="E34" s="26"/>
      <c r="F34" s="24"/>
      <c r="G34" s="24"/>
      <c r="H34" s="24"/>
      <c r="I34" s="24"/>
      <c r="J34" s="24"/>
    </row>
    <row r="35" spans="1:10" x14ac:dyDescent="0.25">
      <c r="A35" s="24"/>
      <c r="B35" s="25"/>
      <c r="C35" s="24"/>
      <c r="D35" s="24"/>
      <c r="E35" s="26"/>
      <c r="F35" s="24"/>
      <c r="G35" s="24"/>
      <c r="H35" s="24"/>
      <c r="I35" s="24"/>
      <c r="J35" s="24"/>
    </row>
    <row r="36" spans="1:10" x14ac:dyDescent="0.25">
      <c r="A36" s="24"/>
      <c r="B36" s="25"/>
      <c r="C36" s="24"/>
      <c r="D36" s="24"/>
      <c r="E36" s="26"/>
      <c r="F36" s="24"/>
      <c r="G36" s="24"/>
      <c r="H36" s="24"/>
      <c r="I36" s="24"/>
      <c r="J36" s="24"/>
    </row>
    <row r="37" spans="1:10" x14ac:dyDescent="0.25">
      <c r="A37" s="24"/>
      <c r="B37" s="25"/>
      <c r="C37" s="24"/>
      <c r="D37" s="24"/>
      <c r="E37" s="26"/>
      <c r="F37" s="24"/>
      <c r="G37" s="24"/>
      <c r="H37" s="24"/>
      <c r="I37" s="24"/>
      <c r="J37" s="24"/>
    </row>
    <row r="38" spans="1:10" x14ac:dyDescent="0.25">
      <c r="A38" s="24"/>
      <c r="B38" s="25"/>
      <c r="C38" s="24"/>
      <c r="D38" s="24"/>
      <c r="E38" s="26"/>
      <c r="F38" s="24"/>
      <c r="G38" s="24"/>
      <c r="H38" s="24"/>
      <c r="I38" s="24"/>
      <c r="J38" s="24"/>
    </row>
    <row r="39" spans="1:10" x14ac:dyDescent="0.25">
      <c r="A39" s="24"/>
      <c r="B39" s="25"/>
      <c r="C39" s="24"/>
      <c r="D39" s="24"/>
      <c r="E39" s="26"/>
      <c r="F39" s="24"/>
      <c r="G39" s="24"/>
      <c r="H39" s="24"/>
      <c r="I39" s="24"/>
      <c r="J39" s="24"/>
    </row>
    <row r="40" spans="1:10" x14ac:dyDescent="0.25">
      <c r="A40" s="24"/>
      <c r="B40" s="25"/>
      <c r="C40" s="24"/>
      <c r="D40" s="24"/>
      <c r="E40" s="26"/>
      <c r="F40" s="24"/>
      <c r="G40" s="24"/>
      <c r="H40" s="24"/>
      <c r="I40" s="24"/>
      <c r="J40" s="24"/>
    </row>
    <row r="41" spans="1:10" x14ac:dyDescent="0.25">
      <c r="A41" s="24"/>
      <c r="B41" s="25"/>
      <c r="C41" s="24"/>
      <c r="D41" s="24"/>
      <c r="E41" s="26"/>
      <c r="F41" s="24"/>
      <c r="G41" s="24"/>
      <c r="H41" s="24"/>
      <c r="I41" s="24"/>
      <c r="J41" s="24"/>
    </row>
    <row r="42" spans="1:10" x14ac:dyDescent="0.25">
      <c r="A42" s="24"/>
      <c r="B42" s="25"/>
      <c r="C42" s="24"/>
      <c r="D42" s="24"/>
      <c r="E42" s="26"/>
      <c r="F42" s="24"/>
      <c r="G42" s="24"/>
      <c r="H42" s="24"/>
      <c r="I42" s="24"/>
      <c r="J42" s="24"/>
    </row>
    <row r="43" spans="1:10" x14ac:dyDescent="0.25">
      <c r="A43" s="24"/>
      <c r="B43" s="25"/>
      <c r="C43" s="24"/>
      <c r="D43" s="24"/>
      <c r="E43" s="26"/>
      <c r="F43" s="24"/>
      <c r="G43" s="24"/>
      <c r="H43" s="24"/>
      <c r="I43" s="24"/>
      <c r="J43" s="24"/>
    </row>
    <row r="44" spans="1:10" x14ac:dyDescent="0.25">
      <c r="A44" s="24"/>
      <c r="B44" s="25"/>
      <c r="C44" s="24"/>
      <c r="D44" s="24"/>
      <c r="E44" s="26"/>
      <c r="F44" s="24"/>
      <c r="G44" s="24"/>
      <c r="H44" s="24"/>
      <c r="I44" s="24"/>
      <c r="J44" s="24"/>
    </row>
    <row r="45" spans="1:10" x14ac:dyDescent="0.25">
      <c r="A45" s="24"/>
      <c r="B45" s="25"/>
      <c r="C45" s="24"/>
      <c r="D45" s="24"/>
      <c r="E45" s="26"/>
      <c r="F45" s="24"/>
      <c r="G45" s="24"/>
      <c r="H45" s="24"/>
      <c r="I45" s="24"/>
      <c r="J45" s="24"/>
    </row>
    <row r="46" spans="1:10" x14ac:dyDescent="0.25">
      <c r="A46" s="24"/>
      <c r="B46" s="25"/>
      <c r="C46" s="24"/>
      <c r="D46" s="24"/>
      <c r="E46" s="26"/>
      <c r="F46" s="24"/>
      <c r="G46" s="24"/>
      <c r="H46" s="24"/>
      <c r="I46" s="24"/>
      <c r="J46" s="24"/>
    </row>
    <row r="47" spans="1:10" x14ac:dyDescent="0.25">
      <c r="A47" s="24"/>
      <c r="B47" s="25"/>
      <c r="C47" s="24"/>
      <c r="D47" s="24"/>
      <c r="E47" s="26"/>
      <c r="F47" s="24"/>
      <c r="G47" s="24"/>
      <c r="H47" s="24"/>
      <c r="I47" s="24"/>
      <c r="J47" s="24"/>
    </row>
    <row r="48" spans="1:10" x14ac:dyDescent="0.25">
      <c r="A48" s="24"/>
      <c r="B48" s="25"/>
      <c r="C48" s="24"/>
      <c r="D48" s="24"/>
      <c r="E48" s="26"/>
      <c r="F48" s="24"/>
      <c r="G48" s="24"/>
      <c r="H48" s="24"/>
      <c r="I48" s="24"/>
      <c r="J48" s="24"/>
    </row>
    <row r="49" spans="1:10" x14ac:dyDescent="0.25">
      <c r="A49" s="24"/>
      <c r="B49" s="25"/>
      <c r="C49" s="24"/>
      <c r="D49" s="24"/>
      <c r="E49" s="26"/>
      <c r="F49" s="24"/>
      <c r="G49" s="24"/>
      <c r="H49" s="24"/>
      <c r="I49" s="24"/>
      <c r="J49" s="24"/>
    </row>
    <row r="50" spans="1:10" x14ac:dyDescent="0.25">
      <c r="A50" s="24"/>
      <c r="B50" s="25"/>
      <c r="C50" s="24"/>
      <c r="D50" s="24"/>
      <c r="E50" s="26"/>
      <c r="F50" s="24"/>
      <c r="G50" s="24"/>
      <c r="H50" s="24"/>
      <c r="I50" s="24"/>
      <c r="J50" s="24"/>
    </row>
    <row r="51" spans="1:10" x14ac:dyDescent="0.25">
      <c r="A51" s="24"/>
      <c r="B51" s="25"/>
      <c r="C51" s="24"/>
      <c r="D51" s="24"/>
      <c r="E51" s="26"/>
      <c r="F51" s="24"/>
      <c r="G51" s="24"/>
      <c r="H51" s="24"/>
      <c r="I51" s="24"/>
      <c r="J51" s="24"/>
    </row>
    <row r="52" spans="1:10" x14ac:dyDescent="0.25">
      <c r="A52" s="24"/>
      <c r="B52" s="25"/>
      <c r="C52" s="24"/>
      <c r="D52" s="24"/>
      <c r="E52" s="26"/>
      <c r="F52" s="24"/>
      <c r="G52" s="24"/>
      <c r="H52" s="24"/>
      <c r="I52" s="24"/>
      <c r="J52" s="24"/>
    </row>
    <row r="53" spans="1:10" x14ac:dyDescent="0.25">
      <c r="A53" s="24"/>
      <c r="B53" s="25"/>
      <c r="C53" s="24"/>
      <c r="D53" s="24"/>
      <c r="E53" s="26"/>
      <c r="F53" s="24"/>
      <c r="G53" s="24"/>
      <c r="H53" s="24"/>
      <c r="I53" s="24"/>
      <c r="J53" s="24"/>
    </row>
    <row r="54" spans="1:10" x14ac:dyDescent="0.25">
      <c r="A54" s="24"/>
      <c r="B54" s="25"/>
      <c r="C54" s="24"/>
      <c r="D54" s="24"/>
      <c r="E54" s="26"/>
      <c r="F54" s="24"/>
      <c r="G54" s="24"/>
      <c r="H54" s="24"/>
      <c r="I54" s="24"/>
      <c r="J54" s="24"/>
    </row>
    <row r="55" spans="1:10" x14ac:dyDescent="0.25">
      <c r="A55" s="24"/>
      <c r="B55" s="25"/>
      <c r="C55" s="24"/>
      <c r="D55" s="24"/>
      <c r="E55" s="26"/>
      <c r="F55" s="24"/>
      <c r="G55" s="24"/>
      <c r="H55" s="24"/>
      <c r="I55" s="24"/>
      <c r="J55" s="24"/>
    </row>
    <row r="56" spans="1:10" x14ac:dyDescent="0.25">
      <c r="A56" s="24"/>
      <c r="B56" s="25"/>
      <c r="C56" s="24"/>
      <c r="D56" s="24"/>
      <c r="E56" s="26"/>
      <c r="F56" s="24"/>
      <c r="G56" s="24"/>
      <c r="H56" s="24"/>
      <c r="I56" s="24"/>
      <c r="J56" s="24"/>
    </row>
    <row r="57" spans="1:10" x14ac:dyDescent="0.25">
      <c r="A57" s="24"/>
      <c r="B57" s="25"/>
      <c r="C57" s="24"/>
      <c r="D57" s="24"/>
      <c r="E57" s="26"/>
      <c r="F57" s="24"/>
      <c r="G57" s="24"/>
      <c r="H57" s="24"/>
      <c r="I57" s="24"/>
      <c r="J57" s="24"/>
    </row>
    <row r="58" spans="1:10" x14ac:dyDescent="0.25">
      <c r="A58" s="24"/>
      <c r="B58" s="25"/>
      <c r="C58" s="24"/>
      <c r="D58" s="24"/>
      <c r="E58" s="26"/>
      <c r="F58" s="24"/>
      <c r="G58" s="24"/>
      <c r="H58" s="24"/>
      <c r="I58" s="24"/>
      <c r="J58" s="24"/>
    </row>
    <row r="59" spans="1:10" x14ac:dyDescent="0.25">
      <c r="A59" s="24"/>
      <c r="B59" s="25"/>
      <c r="C59" s="24"/>
      <c r="D59" s="24"/>
      <c r="E59" s="26"/>
      <c r="F59" s="24"/>
      <c r="G59" s="24"/>
      <c r="H59" s="24"/>
      <c r="I59" s="24"/>
      <c r="J59" s="24"/>
    </row>
    <row r="60" spans="1:10" x14ac:dyDescent="0.25">
      <c r="A60" s="24"/>
      <c r="B60" s="25"/>
      <c r="C60" s="24"/>
      <c r="D60" s="24"/>
      <c r="E60" s="26"/>
      <c r="F60" s="24"/>
      <c r="G60" s="24"/>
      <c r="H60" s="24"/>
      <c r="I60" s="24"/>
      <c r="J60" s="24"/>
    </row>
    <row r="61" spans="1:10" x14ac:dyDescent="0.25">
      <c r="A61" s="24"/>
      <c r="B61" s="25"/>
      <c r="C61" s="24"/>
      <c r="D61" s="24"/>
      <c r="E61" s="26"/>
      <c r="F61" s="24"/>
      <c r="G61" s="24"/>
      <c r="H61" s="24"/>
      <c r="I61" s="24"/>
      <c r="J61" s="24"/>
    </row>
    <row r="62" spans="1:10" x14ac:dyDescent="0.25">
      <c r="A62" s="24"/>
      <c r="B62" s="25"/>
      <c r="C62" s="24"/>
      <c r="D62" s="24"/>
      <c r="E62" s="26"/>
      <c r="F62" s="24"/>
      <c r="G62" s="24"/>
      <c r="H62" s="24"/>
      <c r="I62" s="24"/>
      <c r="J62" s="24"/>
    </row>
    <row r="63" spans="1:10" x14ac:dyDescent="0.25">
      <c r="A63" s="24"/>
      <c r="B63" s="25"/>
      <c r="C63" s="24"/>
      <c r="D63" s="24"/>
      <c r="E63" s="26"/>
      <c r="F63" s="24"/>
      <c r="G63" s="24"/>
      <c r="H63" s="24"/>
      <c r="I63" s="24"/>
      <c r="J63" s="24"/>
    </row>
    <row r="64" spans="1:10" x14ac:dyDescent="0.25">
      <c r="A64" s="24"/>
      <c r="B64" s="25"/>
      <c r="C64" s="24"/>
      <c r="D64" s="24"/>
      <c r="E64" s="26"/>
      <c r="F64" s="24"/>
      <c r="G64" s="24"/>
      <c r="H64" s="24"/>
      <c r="I64" s="24"/>
      <c r="J64" s="24"/>
    </row>
    <row r="65" spans="1:10" x14ac:dyDescent="0.25">
      <c r="A65" s="24"/>
      <c r="B65" s="25"/>
      <c r="C65" s="24"/>
      <c r="D65" s="24"/>
      <c r="E65" s="26"/>
      <c r="F65" s="24"/>
      <c r="G65" s="24"/>
      <c r="H65" s="24"/>
      <c r="I65" s="24"/>
      <c r="J65" s="24"/>
    </row>
    <row r="66" spans="1:10" x14ac:dyDescent="0.25">
      <c r="A66" s="24"/>
      <c r="B66" s="25"/>
      <c r="C66" s="24"/>
      <c r="D66" s="24"/>
      <c r="E66" s="26"/>
      <c r="F66" s="24"/>
      <c r="G66" s="24"/>
      <c r="H66" s="24"/>
      <c r="I66" s="24"/>
      <c r="J66" s="24"/>
    </row>
    <row r="67" spans="1:10" x14ac:dyDescent="0.25">
      <c r="A67" s="24"/>
      <c r="B67" s="25"/>
      <c r="C67" s="24"/>
      <c r="D67" s="24"/>
      <c r="E67" s="26"/>
      <c r="F67" s="24"/>
      <c r="G67" s="24"/>
      <c r="H67" s="24"/>
      <c r="I67" s="24"/>
      <c r="J67" s="24"/>
    </row>
    <row r="68" spans="1:10" x14ac:dyDescent="0.25">
      <c r="A68" s="24"/>
      <c r="B68" s="25"/>
      <c r="C68" s="24"/>
      <c r="D68" s="24"/>
      <c r="E68" s="26"/>
      <c r="F68" s="24"/>
      <c r="G68" s="24"/>
      <c r="H68" s="24"/>
      <c r="I68" s="24"/>
      <c r="J68" s="24"/>
    </row>
    <row r="69" spans="1:10" x14ac:dyDescent="0.25">
      <c r="A69" s="24"/>
      <c r="B69" s="25"/>
      <c r="C69" s="24"/>
      <c r="D69" s="24"/>
      <c r="E69" s="26"/>
      <c r="F69" s="24"/>
      <c r="G69" s="24"/>
      <c r="H69" s="24"/>
      <c r="I69" s="24"/>
      <c r="J69" s="24"/>
    </row>
    <row r="70" spans="1:10" x14ac:dyDescent="0.25">
      <c r="A70" s="24"/>
      <c r="B70" s="25"/>
      <c r="C70" s="24"/>
      <c r="D70" s="24"/>
      <c r="E70" s="26"/>
      <c r="F70" s="24"/>
      <c r="G70" s="24"/>
      <c r="H70" s="24"/>
      <c r="I70" s="24"/>
      <c r="J70" s="24"/>
    </row>
    <row r="71" spans="1:10" x14ac:dyDescent="0.25">
      <c r="A71" s="24"/>
      <c r="B71" s="25"/>
      <c r="C71" s="24"/>
      <c r="D71" s="24"/>
      <c r="E71" s="26"/>
      <c r="F71" s="24"/>
      <c r="G71" s="24"/>
      <c r="H71" s="24"/>
      <c r="I71" s="24"/>
      <c r="J71" s="24"/>
    </row>
    <row r="72" spans="1:10" x14ac:dyDescent="0.25">
      <c r="A72" s="24"/>
      <c r="B72" s="25"/>
      <c r="C72" s="24"/>
      <c r="D72" s="24"/>
      <c r="E72" s="26"/>
      <c r="F72" s="24"/>
      <c r="G72" s="24"/>
      <c r="H72" s="24"/>
      <c r="I72" s="24"/>
      <c r="J72" s="24"/>
    </row>
    <row r="73" spans="1:10" x14ac:dyDescent="0.25">
      <c r="A73" s="24"/>
      <c r="B73" s="25"/>
      <c r="C73" s="24"/>
      <c r="D73" s="24"/>
      <c r="E73" s="26"/>
      <c r="F73" s="24"/>
      <c r="G73" s="24"/>
      <c r="H73" s="24"/>
      <c r="I73" s="24"/>
      <c r="J73" s="24"/>
    </row>
    <row r="74" spans="1:10" x14ac:dyDescent="0.25">
      <c r="A74" s="24"/>
      <c r="B74" s="25"/>
      <c r="C74" s="24"/>
      <c r="D74" s="24"/>
      <c r="E74" s="26"/>
      <c r="F74" s="24"/>
      <c r="G74" s="24"/>
      <c r="H74" s="24"/>
      <c r="I74" s="24"/>
      <c r="J74" s="24"/>
    </row>
    <row r="75" spans="1:10" x14ac:dyDescent="0.25">
      <c r="A75" s="24"/>
      <c r="B75" s="25"/>
      <c r="C75" s="24"/>
      <c r="D75" s="24"/>
      <c r="E75" s="26"/>
      <c r="F75" s="24"/>
      <c r="G75" s="24"/>
      <c r="H75" s="24"/>
      <c r="I75" s="24"/>
      <c r="J75" s="24"/>
    </row>
    <row r="76" spans="1:10" x14ac:dyDescent="0.25">
      <c r="A76" s="24"/>
      <c r="B76" s="25"/>
      <c r="C76" s="24"/>
      <c r="D76" s="24"/>
      <c r="E76" s="26"/>
      <c r="F76" s="24"/>
      <c r="G76" s="24"/>
      <c r="H76" s="24"/>
      <c r="I76" s="24"/>
      <c r="J76" s="24"/>
    </row>
    <row r="77" spans="1:10" x14ac:dyDescent="0.25">
      <c r="A77" s="24"/>
      <c r="B77" s="25"/>
      <c r="C77" s="24"/>
      <c r="D77" s="24"/>
      <c r="E77" s="26"/>
      <c r="F77" s="24"/>
      <c r="G77" s="24"/>
      <c r="H77" s="24"/>
      <c r="I77" s="24"/>
      <c r="J77" s="24"/>
    </row>
    <row r="78" spans="1:10" x14ac:dyDescent="0.25">
      <c r="A78" s="24"/>
      <c r="B78" s="25"/>
      <c r="C78" s="24"/>
      <c r="D78" s="24"/>
      <c r="E78" s="26"/>
      <c r="F78" s="24"/>
      <c r="G78" s="24"/>
      <c r="H78" s="24"/>
      <c r="I78" s="24"/>
      <c r="J78" s="24"/>
    </row>
    <row r="79" spans="1:10" x14ac:dyDescent="0.25">
      <c r="A79" s="24"/>
      <c r="B79" s="25"/>
      <c r="C79" s="24"/>
      <c r="D79" s="24"/>
      <c r="E79" s="26"/>
      <c r="F79" s="24"/>
      <c r="G79" s="24"/>
      <c r="H79" s="24"/>
      <c r="I79" s="24"/>
      <c r="J79" s="24"/>
    </row>
    <row r="80" spans="1:10" x14ac:dyDescent="0.25">
      <c r="A80" s="24"/>
      <c r="B80" s="25"/>
      <c r="C80" s="24"/>
      <c r="D80" s="24"/>
      <c r="E80" s="26"/>
      <c r="F80" s="24"/>
      <c r="G80" s="24"/>
      <c r="H80" s="24"/>
      <c r="I80" s="24"/>
      <c r="J80" s="24"/>
    </row>
    <row r="81" spans="1:10" x14ac:dyDescent="0.25">
      <c r="A81" s="24"/>
      <c r="B81" s="25"/>
      <c r="C81" s="24"/>
      <c r="D81" s="24"/>
      <c r="E81" s="26"/>
      <c r="F81" s="24"/>
      <c r="G81" s="24"/>
      <c r="H81" s="24"/>
      <c r="I81" s="24"/>
      <c r="J81" s="24"/>
    </row>
    <row r="82" spans="1:10" x14ac:dyDescent="0.25">
      <c r="A82" s="24"/>
      <c r="B82" s="25"/>
      <c r="C82" s="24"/>
      <c r="D82" s="24"/>
      <c r="E82" s="26"/>
      <c r="F82" s="24"/>
      <c r="G82" s="24"/>
      <c r="H82" s="24"/>
      <c r="I82" s="24"/>
      <c r="J82" s="24"/>
    </row>
    <row r="83" spans="1:10" x14ac:dyDescent="0.25">
      <c r="A83" s="24"/>
      <c r="B83" s="25"/>
      <c r="C83" s="24"/>
      <c r="D83" s="24"/>
      <c r="E83" s="26"/>
      <c r="F83" s="24"/>
      <c r="G83" s="24"/>
      <c r="H83" s="24"/>
      <c r="I83" s="24"/>
      <c r="J83" s="24"/>
    </row>
    <row r="84" spans="1:10" x14ac:dyDescent="0.25">
      <c r="A84" s="24"/>
      <c r="B84" s="25"/>
      <c r="C84" s="24"/>
      <c r="D84" s="24"/>
      <c r="E84" s="26"/>
      <c r="F84" s="24"/>
      <c r="G84" s="24"/>
      <c r="H84" s="24"/>
      <c r="I84" s="24"/>
      <c r="J84" s="24"/>
    </row>
    <row r="85" spans="1:10" x14ac:dyDescent="0.25">
      <c r="A85" s="24"/>
      <c r="B85" s="25"/>
      <c r="C85" s="24"/>
      <c r="D85" s="24"/>
      <c r="E85" s="26"/>
      <c r="F85" s="24"/>
      <c r="G85" s="24"/>
      <c r="H85" s="24"/>
      <c r="I85" s="24"/>
      <c r="J85" s="24"/>
    </row>
    <row r="86" spans="1:10" x14ac:dyDescent="0.25">
      <c r="A86" s="24"/>
      <c r="B86" s="25"/>
      <c r="C86" s="24"/>
      <c r="D86" s="24"/>
      <c r="E86" s="26"/>
      <c r="F86" s="24"/>
      <c r="G86" s="24"/>
      <c r="H86" s="24"/>
      <c r="I86" s="24"/>
      <c r="J86" s="24"/>
    </row>
    <row r="87" spans="1:10" x14ac:dyDescent="0.25">
      <c r="A87" s="24"/>
      <c r="B87" s="25"/>
      <c r="C87" s="24"/>
      <c r="D87" s="24"/>
      <c r="E87" s="26"/>
      <c r="F87" s="24"/>
      <c r="G87" s="24"/>
      <c r="H87" s="24"/>
      <c r="I87" s="24"/>
      <c r="J87" s="24"/>
    </row>
    <row r="88" spans="1:10" x14ac:dyDescent="0.25">
      <c r="A88" s="24"/>
      <c r="B88" s="25"/>
      <c r="C88" s="24"/>
      <c r="D88" s="24"/>
      <c r="E88" s="26"/>
      <c r="F88" s="24"/>
      <c r="G88" s="24"/>
      <c r="H88" s="24"/>
      <c r="I88" s="24"/>
      <c r="J88" s="24"/>
    </row>
    <row r="89" spans="1:10" x14ac:dyDescent="0.25">
      <c r="A89" s="24"/>
      <c r="B89" s="25"/>
      <c r="C89" s="24"/>
      <c r="D89" s="24"/>
      <c r="E89" s="26"/>
      <c r="F89" s="24"/>
      <c r="G89" s="24"/>
      <c r="H89" s="24"/>
      <c r="I89" s="24"/>
      <c r="J89" s="24"/>
    </row>
    <row r="90" spans="1:10" x14ac:dyDescent="0.25">
      <c r="A90" s="24"/>
      <c r="B90" s="25"/>
      <c r="C90" s="24"/>
      <c r="D90" s="24"/>
      <c r="E90" s="26"/>
      <c r="F90" s="24"/>
      <c r="G90" s="24"/>
      <c r="H90" s="24"/>
      <c r="I90" s="24"/>
      <c r="J90" s="24"/>
    </row>
    <row r="91" spans="1:10" x14ac:dyDescent="0.25">
      <c r="A91" s="24"/>
      <c r="B91" s="25"/>
      <c r="C91" s="24"/>
      <c r="D91" s="24"/>
      <c r="E91" s="26"/>
      <c r="F91" s="24"/>
      <c r="G91" s="24"/>
      <c r="H91" s="24"/>
      <c r="I91" s="24"/>
      <c r="J91" s="24"/>
    </row>
    <row r="92" spans="1:10" x14ac:dyDescent="0.25">
      <c r="A92" s="24"/>
      <c r="B92" s="25"/>
      <c r="C92" s="24"/>
      <c r="D92" s="24"/>
      <c r="E92" s="26"/>
      <c r="F92" s="24"/>
      <c r="G92" s="24"/>
      <c r="H92" s="24"/>
      <c r="I92" s="24"/>
      <c r="J92" s="24"/>
    </row>
    <row r="93" spans="1:10" x14ac:dyDescent="0.25">
      <c r="A93" s="24"/>
      <c r="B93" s="25"/>
      <c r="C93" s="24"/>
      <c r="D93" s="24"/>
      <c r="E93" s="26"/>
      <c r="F93" s="24"/>
      <c r="G93" s="24"/>
      <c r="H93" s="24"/>
      <c r="I93" s="24"/>
      <c r="J93" s="24"/>
    </row>
    <row r="94" spans="1:10" x14ac:dyDescent="0.25">
      <c r="A94" s="24"/>
      <c r="B94" s="25"/>
      <c r="C94" s="24"/>
      <c r="D94" s="24"/>
      <c r="E94" s="26"/>
      <c r="F94" s="24"/>
      <c r="G94" s="24"/>
      <c r="H94" s="24"/>
      <c r="I94" s="24"/>
      <c r="J94" s="24"/>
    </row>
    <row r="95" spans="1:10" x14ac:dyDescent="0.25">
      <c r="A95" s="24"/>
      <c r="B95" s="25"/>
      <c r="C95" s="24"/>
      <c r="D95" s="24"/>
      <c r="E95" s="26"/>
      <c r="F95" s="24"/>
      <c r="G95" s="24"/>
      <c r="H95" s="24"/>
      <c r="I95" s="24"/>
      <c r="J95" s="24"/>
    </row>
    <row r="96" spans="1:10" x14ac:dyDescent="0.25">
      <c r="A96" s="24"/>
      <c r="B96" s="25"/>
      <c r="C96" s="24"/>
      <c r="D96" s="24"/>
      <c r="E96" s="26"/>
      <c r="F96" s="24"/>
      <c r="G96" s="24"/>
      <c r="H96" s="24"/>
      <c r="I96" s="24"/>
      <c r="J96" s="24"/>
    </row>
    <row r="97" spans="1:10" x14ac:dyDescent="0.25">
      <c r="A97" s="24"/>
      <c r="B97" s="25"/>
      <c r="C97" s="24"/>
      <c r="D97" s="24"/>
      <c r="E97" s="26"/>
      <c r="F97" s="24"/>
      <c r="G97" s="24"/>
      <c r="H97" s="24"/>
      <c r="I97" s="24"/>
      <c r="J97" s="24"/>
    </row>
    <row r="98" spans="1:10" x14ac:dyDescent="0.25">
      <c r="A98" s="24"/>
      <c r="B98" s="25"/>
      <c r="C98" s="24"/>
      <c r="D98" s="24"/>
      <c r="E98" s="26"/>
      <c r="F98" s="24"/>
      <c r="G98" s="24"/>
      <c r="H98" s="24"/>
      <c r="I98" s="24"/>
      <c r="J98" s="24"/>
    </row>
    <row r="99" spans="1:10" x14ac:dyDescent="0.25">
      <c r="A99" s="24"/>
      <c r="B99" s="25"/>
      <c r="C99" s="24"/>
      <c r="D99" s="24"/>
      <c r="E99" s="26"/>
      <c r="F99" s="24"/>
      <c r="G99" s="24"/>
      <c r="H99" s="24"/>
      <c r="I99" s="24"/>
      <c r="J99" s="24"/>
    </row>
    <row r="100" spans="1:10" x14ac:dyDescent="0.25">
      <c r="A100" s="24"/>
      <c r="B100" s="25"/>
      <c r="C100" s="24"/>
      <c r="D100" s="24"/>
      <c r="E100" s="26"/>
      <c r="F100" s="24"/>
      <c r="G100" s="24"/>
      <c r="H100" s="24"/>
      <c r="I100" s="24"/>
      <c r="J100" s="24"/>
    </row>
    <row r="101" spans="1:10" x14ac:dyDescent="0.25">
      <c r="A101" s="24"/>
      <c r="B101" s="25"/>
      <c r="C101" s="24"/>
      <c r="D101" s="24"/>
      <c r="E101" s="26"/>
      <c r="F101" s="24"/>
      <c r="G101" s="24"/>
      <c r="H101" s="24"/>
      <c r="I101" s="24"/>
      <c r="J101" s="24"/>
    </row>
    <row r="102" spans="1:10" x14ac:dyDescent="0.25">
      <c r="A102" s="24"/>
      <c r="B102" s="25"/>
      <c r="C102" s="24"/>
      <c r="D102" s="24"/>
      <c r="E102" s="26"/>
      <c r="F102" s="24"/>
      <c r="G102" s="24"/>
      <c r="H102" s="24"/>
      <c r="I102" s="24"/>
      <c r="J102" s="24"/>
    </row>
    <row r="103" spans="1:10" x14ac:dyDescent="0.25">
      <c r="A103" s="24"/>
      <c r="B103" s="25"/>
      <c r="C103" s="24"/>
      <c r="D103" s="24"/>
      <c r="E103" s="26"/>
      <c r="F103" s="24"/>
      <c r="G103" s="24"/>
      <c r="H103" s="24"/>
      <c r="I103" s="24"/>
      <c r="J103" s="24"/>
    </row>
    <row r="104" spans="1:10" x14ac:dyDescent="0.25">
      <c r="A104" s="24"/>
      <c r="B104" s="25"/>
      <c r="C104" s="24"/>
      <c r="D104" s="24"/>
      <c r="E104" s="26"/>
      <c r="F104" s="24"/>
      <c r="G104" s="24"/>
      <c r="H104" s="24"/>
      <c r="I104" s="24"/>
      <c r="J104" s="24"/>
    </row>
    <row r="105" spans="1:10" x14ac:dyDescent="0.25">
      <c r="A105" s="24"/>
      <c r="B105" s="25"/>
      <c r="C105" s="24"/>
      <c r="D105" s="24"/>
      <c r="E105" s="26"/>
      <c r="F105" s="24"/>
      <c r="G105" s="24"/>
      <c r="H105" s="24"/>
      <c r="I105" s="24"/>
      <c r="J105" s="24"/>
    </row>
    <row r="106" spans="1:10" x14ac:dyDescent="0.25">
      <c r="A106" s="24"/>
      <c r="B106" s="25"/>
      <c r="C106" s="24"/>
      <c r="D106" s="24"/>
      <c r="E106" s="26"/>
      <c r="F106" s="24"/>
      <c r="G106" s="24"/>
      <c r="H106" s="24"/>
      <c r="I106" s="24"/>
      <c r="J106" s="24"/>
    </row>
    <row r="107" spans="1:10" x14ac:dyDescent="0.25">
      <c r="A107" s="24"/>
      <c r="B107" s="25"/>
      <c r="C107" s="24"/>
      <c r="D107" s="24"/>
      <c r="E107" s="26"/>
      <c r="F107" s="24"/>
      <c r="G107" s="24"/>
      <c r="H107" s="24"/>
      <c r="I107" s="24"/>
      <c r="J107" s="24"/>
    </row>
    <row r="108" spans="1:10" x14ac:dyDescent="0.25">
      <c r="A108" s="24"/>
      <c r="B108" s="25"/>
      <c r="C108" s="24"/>
      <c r="D108" s="24"/>
      <c r="E108" s="26"/>
      <c r="F108" s="24"/>
      <c r="G108" s="24"/>
      <c r="H108" s="24"/>
      <c r="I108" s="24"/>
      <c r="J108" s="24"/>
    </row>
    <row r="109" spans="1:10" x14ac:dyDescent="0.25">
      <c r="A109" s="24"/>
      <c r="B109" s="25"/>
      <c r="C109" s="24"/>
      <c r="D109" s="24"/>
      <c r="E109" s="26"/>
      <c r="F109" s="24"/>
      <c r="G109" s="24"/>
      <c r="H109" s="24"/>
      <c r="I109" s="24"/>
      <c r="J109" s="24"/>
    </row>
    <row r="110" spans="1:10" x14ac:dyDescent="0.25">
      <c r="A110" s="24"/>
      <c r="B110" s="25"/>
      <c r="C110" s="24"/>
      <c r="D110" s="24"/>
      <c r="E110" s="26"/>
      <c r="F110" s="24"/>
      <c r="G110" s="24"/>
      <c r="H110" s="24"/>
      <c r="I110" s="24"/>
      <c r="J110" s="24"/>
    </row>
    <row r="111" spans="1:10" x14ac:dyDescent="0.25">
      <c r="A111" s="24"/>
      <c r="B111" s="25"/>
      <c r="C111" s="24"/>
      <c r="D111" s="24"/>
      <c r="E111" s="26"/>
      <c r="F111" s="24"/>
      <c r="G111" s="24"/>
      <c r="H111" s="24"/>
      <c r="I111" s="24"/>
      <c r="J111" s="24"/>
    </row>
    <row r="112" spans="1:10" x14ac:dyDescent="0.25">
      <c r="A112" s="24"/>
      <c r="B112" s="25"/>
      <c r="C112" s="24"/>
      <c r="D112" s="24"/>
      <c r="E112" s="26"/>
      <c r="F112" s="24"/>
      <c r="G112" s="24"/>
      <c r="H112" s="24"/>
      <c r="I112" s="24"/>
      <c r="J112" s="24"/>
    </row>
    <row r="113" spans="1:10" x14ac:dyDescent="0.25">
      <c r="A113" s="24"/>
      <c r="B113" s="25"/>
      <c r="C113" s="24"/>
      <c r="D113" s="24"/>
      <c r="E113" s="26"/>
      <c r="F113" s="24"/>
      <c r="G113" s="24"/>
      <c r="H113" s="24"/>
      <c r="I113" s="24"/>
      <c r="J113" s="24"/>
    </row>
    <row r="114" spans="1:10" x14ac:dyDescent="0.25">
      <c r="A114" s="24"/>
      <c r="B114" s="25"/>
      <c r="C114" s="24"/>
      <c r="D114" s="24"/>
      <c r="E114" s="26"/>
      <c r="F114" s="24"/>
      <c r="G114" s="24"/>
      <c r="H114" s="24"/>
      <c r="I114" s="24"/>
      <c r="J114" s="24"/>
    </row>
    <row r="115" spans="1:10" x14ac:dyDescent="0.25">
      <c r="A115" s="24"/>
      <c r="B115" s="25"/>
      <c r="C115" s="24"/>
      <c r="D115" s="24"/>
      <c r="E115" s="26"/>
      <c r="F115" s="24"/>
      <c r="G115" s="24"/>
      <c r="H115" s="24"/>
      <c r="I115" s="24"/>
      <c r="J115" s="24"/>
    </row>
    <row r="116" spans="1:10" x14ac:dyDescent="0.25">
      <c r="A116" s="24"/>
      <c r="B116" s="25"/>
      <c r="C116" s="24"/>
      <c r="D116" s="24"/>
      <c r="E116" s="26"/>
      <c r="F116" s="24"/>
      <c r="G116" s="24"/>
      <c r="H116" s="24"/>
      <c r="I116" s="24"/>
      <c r="J116" s="24"/>
    </row>
    <row r="117" spans="1:10" x14ac:dyDescent="0.25">
      <c r="A117" s="24"/>
      <c r="B117" s="25"/>
      <c r="C117" s="24"/>
      <c r="D117" s="24"/>
      <c r="E117" s="26"/>
      <c r="F117" s="24"/>
      <c r="G117" s="24"/>
      <c r="H117" s="24"/>
      <c r="I117" s="24"/>
      <c r="J117" s="24"/>
    </row>
    <row r="118" spans="1:10" x14ac:dyDescent="0.25">
      <c r="A118" s="24"/>
      <c r="B118" s="25"/>
      <c r="C118" s="24"/>
      <c r="D118" s="24"/>
      <c r="E118" s="26"/>
      <c r="F118" s="24"/>
      <c r="G118" s="24"/>
      <c r="H118" s="24"/>
      <c r="I118" s="24"/>
      <c r="J118" s="24"/>
    </row>
    <row r="119" spans="1:10" x14ac:dyDescent="0.25">
      <c r="A119" s="24"/>
      <c r="B119" s="25"/>
      <c r="C119" s="24"/>
      <c r="D119" s="24"/>
      <c r="E119" s="26"/>
      <c r="F119" s="24"/>
      <c r="G119" s="24"/>
      <c r="H119" s="24"/>
      <c r="I119" s="24"/>
      <c r="J119" s="24"/>
    </row>
    <row r="120" spans="1:10" x14ac:dyDescent="0.25">
      <c r="A120" s="24"/>
      <c r="B120" s="25"/>
      <c r="C120" s="24"/>
      <c r="D120" s="24"/>
      <c r="E120" s="26"/>
      <c r="F120" s="24"/>
      <c r="G120" s="24"/>
      <c r="H120" s="24"/>
      <c r="I120" s="24"/>
      <c r="J120" s="24"/>
    </row>
    <row r="121" spans="1:10" x14ac:dyDescent="0.25">
      <c r="A121" s="24"/>
      <c r="B121" s="25"/>
      <c r="C121" s="24"/>
      <c r="D121" s="24"/>
      <c r="E121" s="26"/>
      <c r="F121" s="24"/>
      <c r="G121" s="24"/>
      <c r="H121" s="24"/>
      <c r="I121" s="24"/>
      <c r="J121" s="24"/>
    </row>
    <row r="122" spans="1:10" x14ac:dyDescent="0.25">
      <c r="A122" s="24"/>
      <c r="B122" s="25"/>
      <c r="C122" s="24"/>
      <c r="D122" s="24"/>
      <c r="E122" s="26"/>
      <c r="F122" s="24"/>
      <c r="G122" s="24"/>
      <c r="H122" s="24"/>
      <c r="I122" s="24"/>
      <c r="J122" s="24"/>
    </row>
    <row r="123" spans="1:10" x14ac:dyDescent="0.25">
      <c r="A123" s="24"/>
      <c r="B123" s="25"/>
      <c r="C123" s="24"/>
      <c r="D123" s="24"/>
      <c r="E123" s="26"/>
      <c r="F123" s="24"/>
      <c r="G123" s="24"/>
      <c r="H123" s="24"/>
      <c r="I123" s="24"/>
      <c r="J123" s="24"/>
    </row>
    <row r="124" spans="1:10" x14ac:dyDescent="0.25">
      <c r="A124" s="24"/>
      <c r="B124" s="25"/>
      <c r="C124" s="24"/>
      <c r="D124" s="24"/>
      <c r="E124" s="26"/>
      <c r="F124" s="24"/>
      <c r="G124" s="24"/>
      <c r="H124" s="24"/>
      <c r="I124" s="24"/>
      <c r="J124" s="24"/>
    </row>
    <row r="125" spans="1:10" x14ac:dyDescent="0.25">
      <c r="A125" s="24"/>
      <c r="B125" s="25"/>
      <c r="C125" s="24"/>
      <c r="D125" s="24"/>
      <c r="E125" s="26"/>
      <c r="F125" s="24"/>
      <c r="G125" s="24"/>
      <c r="H125" s="24"/>
      <c r="I125" s="24"/>
      <c r="J125" s="24"/>
    </row>
    <row r="126" spans="1:10" x14ac:dyDescent="0.25">
      <c r="A126" s="24"/>
      <c r="B126" s="25"/>
      <c r="C126" s="24"/>
      <c r="D126" s="24"/>
      <c r="E126" s="26"/>
      <c r="F126" s="24"/>
      <c r="G126" s="24"/>
      <c r="H126" s="24"/>
      <c r="I126" s="24"/>
      <c r="J126" s="24"/>
    </row>
    <row r="127" spans="1:10" x14ac:dyDescent="0.25">
      <c r="A127" s="24"/>
      <c r="B127" s="25"/>
      <c r="C127" s="24"/>
      <c r="D127" s="24"/>
      <c r="E127" s="26"/>
      <c r="F127" s="24"/>
      <c r="G127" s="24"/>
      <c r="H127" s="24"/>
      <c r="I127" s="24"/>
      <c r="J127" s="24"/>
    </row>
    <row r="128" spans="1:10" x14ac:dyDescent="0.25">
      <c r="A128" s="24"/>
      <c r="B128" s="25"/>
      <c r="C128" s="24"/>
      <c r="D128" s="24"/>
      <c r="E128" s="26"/>
      <c r="F128" s="24"/>
      <c r="G128" s="24"/>
      <c r="H128" s="24"/>
      <c r="I128" s="24"/>
      <c r="J128" s="24"/>
    </row>
    <row r="129" spans="1:10" x14ac:dyDescent="0.25">
      <c r="A129" s="24"/>
      <c r="B129" s="25"/>
      <c r="C129" s="24"/>
      <c r="D129" s="24"/>
      <c r="E129" s="26"/>
      <c r="F129" s="24"/>
      <c r="G129" s="24"/>
      <c r="H129" s="24"/>
      <c r="I129" s="24"/>
      <c r="J129" s="24"/>
    </row>
    <row r="130" spans="1:10" x14ac:dyDescent="0.25">
      <c r="A130" s="24"/>
      <c r="B130" s="25"/>
      <c r="C130" s="24"/>
      <c r="D130" s="24"/>
      <c r="E130" s="26"/>
      <c r="F130" s="24"/>
      <c r="G130" s="24"/>
      <c r="H130" s="24"/>
      <c r="I130" s="24"/>
      <c r="J130" s="24"/>
    </row>
    <row r="131" spans="1:10" x14ac:dyDescent="0.25">
      <c r="A131" s="24"/>
      <c r="B131" s="25"/>
      <c r="C131" s="24"/>
      <c r="D131" s="24"/>
      <c r="E131" s="26"/>
      <c r="F131" s="24"/>
      <c r="G131" s="24"/>
      <c r="H131" s="24"/>
      <c r="I131" s="24"/>
      <c r="J131" s="24"/>
    </row>
    <row r="132" spans="1:10" x14ac:dyDescent="0.25">
      <c r="A132" s="24"/>
      <c r="B132" s="25"/>
      <c r="C132" s="24"/>
      <c r="D132" s="24"/>
      <c r="E132" s="26"/>
      <c r="F132" s="24"/>
      <c r="G132" s="24"/>
      <c r="H132" s="24"/>
      <c r="I132" s="24"/>
      <c r="J132" s="24"/>
    </row>
    <row r="133" spans="1:10" x14ac:dyDescent="0.25">
      <c r="A133" s="24"/>
      <c r="B133" s="25"/>
      <c r="C133" s="24"/>
      <c r="D133" s="24"/>
      <c r="E133" s="26"/>
      <c r="F133" s="24"/>
      <c r="G133" s="24"/>
      <c r="H133" s="24"/>
      <c r="I133" s="24"/>
      <c r="J133" s="24"/>
    </row>
    <row r="134" spans="1:10" x14ac:dyDescent="0.25">
      <c r="A134" s="24"/>
      <c r="B134" s="25"/>
      <c r="C134" s="24"/>
      <c r="D134" s="24"/>
      <c r="E134" s="26"/>
      <c r="F134" s="24"/>
      <c r="G134" s="24"/>
      <c r="H134" s="24"/>
      <c r="I134" s="24"/>
      <c r="J134" s="24"/>
    </row>
    <row r="135" spans="1:10" x14ac:dyDescent="0.25">
      <c r="A135" s="24"/>
      <c r="B135" s="25"/>
      <c r="C135" s="24"/>
      <c r="D135" s="24"/>
      <c r="E135" s="26"/>
      <c r="F135" s="24"/>
      <c r="G135" s="24"/>
      <c r="H135" s="24"/>
      <c r="I135" s="24"/>
      <c r="J135" s="24"/>
    </row>
    <row r="136" spans="1:10" x14ac:dyDescent="0.25">
      <c r="A136" s="24"/>
      <c r="B136" s="25"/>
      <c r="C136" s="24"/>
      <c r="D136" s="24"/>
      <c r="E136" s="26"/>
      <c r="F136" s="24"/>
      <c r="G136" s="24"/>
      <c r="H136" s="24"/>
      <c r="I136" s="24"/>
      <c r="J136" s="24"/>
    </row>
    <row r="137" spans="1:10" x14ac:dyDescent="0.25">
      <c r="A137" s="24"/>
      <c r="B137" s="25"/>
      <c r="C137" s="24"/>
      <c r="D137" s="24"/>
      <c r="E137" s="26"/>
      <c r="F137" s="24"/>
      <c r="G137" s="24"/>
      <c r="H137" s="24"/>
      <c r="I137" s="24"/>
      <c r="J137" s="24"/>
    </row>
    <row r="138" spans="1:10" x14ac:dyDescent="0.25">
      <c r="A138" s="24"/>
      <c r="B138" s="25"/>
      <c r="C138" s="24"/>
      <c r="D138" s="24"/>
      <c r="E138" s="26"/>
      <c r="F138" s="24"/>
      <c r="G138" s="24"/>
      <c r="H138" s="24"/>
      <c r="I138" s="24"/>
      <c r="J138" s="24"/>
    </row>
    <row r="139" spans="1:10" x14ac:dyDescent="0.25">
      <c r="A139" s="24"/>
      <c r="B139" s="25"/>
      <c r="C139" s="24"/>
      <c r="D139" s="24"/>
      <c r="E139" s="26"/>
      <c r="F139" s="24"/>
      <c r="G139" s="24"/>
      <c r="H139" s="24"/>
      <c r="I139" s="24"/>
      <c r="J139" s="24"/>
    </row>
    <row r="140" spans="1:10" x14ac:dyDescent="0.25">
      <c r="A140" s="24"/>
      <c r="B140" s="25"/>
      <c r="C140" s="24"/>
      <c r="D140" s="24"/>
      <c r="E140" s="26"/>
      <c r="F140" s="24"/>
      <c r="G140" s="24"/>
      <c r="H140" s="24"/>
      <c r="I140" s="24"/>
      <c r="J140" s="24"/>
    </row>
    <row r="141" spans="1:10" x14ac:dyDescent="0.25">
      <c r="A141" s="24"/>
      <c r="B141" s="25"/>
      <c r="C141" s="24"/>
      <c r="D141" s="24"/>
      <c r="E141" s="26"/>
      <c r="F141" s="24"/>
      <c r="G141" s="24"/>
      <c r="H141" s="24"/>
      <c r="I141" s="24"/>
      <c r="J141" s="24"/>
    </row>
    <row r="142" spans="1:10" x14ac:dyDescent="0.25">
      <c r="A142" s="24"/>
      <c r="B142" s="25"/>
      <c r="C142" s="24"/>
      <c r="D142" s="24"/>
      <c r="E142" s="26"/>
      <c r="F142" s="24"/>
      <c r="G142" s="24"/>
      <c r="H142" s="24"/>
      <c r="I142" s="24"/>
      <c r="J142" s="24"/>
    </row>
    <row r="143" spans="1:10" x14ac:dyDescent="0.25">
      <c r="A143" s="24"/>
      <c r="B143" s="25"/>
      <c r="C143" s="24"/>
      <c r="D143" s="24"/>
      <c r="E143" s="26"/>
      <c r="F143" s="24"/>
      <c r="G143" s="24"/>
      <c r="H143" s="24"/>
      <c r="I143" s="24"/>
      <c r="J143" s="24"/>
    </row>
    <row r="144" spans="1:10" x14ac:dyDescent="0.25">
      <c r="A144" s="24"/>
      <c r="B144" s="25"/>
      <c r="C144" s="24"/>
      <c r="D144" s="24"/>
      <c r="E144" s="26"/>
      <c r="F144" s="24"/>
      <c r="G144" s="24"/>
      <c r="H144" s="24"/>
      <c r="I144" s="24"/>
      <c r="J144" s="24"/>
    </row>
    <row r="145" spans="1:10" x14ac:dyDescent="0.25">
      <c r="A145" s="24"/>
      <c r="B145" s="25"/>
      <c r="C145" s="24"/>
      <c r="D145" s="24"/>
      <c r="E145" s="26"/>
      <c r="F145" s="24"/>
      <c r="G145" s="24"/>
      <c r="H145" s="24"/>
      <c r="I145" s="24"/>
      <c r="J145" s="24"/>
    </row>
    <row r="146" spans="1:10" x14ac:dyDescent="0.25">
      <c r="A146" s="24"/>
      <c r="B146" s="25"/>
      <c r="C146" s="24"/>
      <c r="D146" s="24"/>
      <c r="E146" s="26"/>
      <c r="F146" s="24"/>
      <c r="G146" s="24"/>
      <c r="H146" s="24"/>
      <c r="I146" s="24"/>
      <c r="J146" s="24"/>
    </row>
    <row r="147" spans="1:10" x14ac:dyDescent="0.25">
      <c r="A147" s="24"/>
      <c r="B147" s="25"/>
      <c r="C147" s="24"/>
      <c r="D147" s="24"/>
      <c r="E147" s="26"/>
      <c r="F147" s="24"/>
      <c r="G147" s="24"/>
      <c r="H147" s="24"/>
      <c r="I147" s="24"/>
      <c r="J147" s="24"/>
    </row>
    <row r="148" spans="1:10" x14ac:dyDescent="0.25">
      <c r="A148" s="24"/>
      <c r="B148" s="25"/>
      <c r="C148" s="24"/>
      <c r="D148" s="24"/>
      <c r="E148" s="26"/>
      <c r="F148" s="24"/>
      <c r="G148" s="24"/>
      <c r="H148" s="24"/>
      <c r="I148" s="24"/>
      <c r="J148" s="24"/>
    </row>
    <row r="149" spans="1:10" x14ac:dyDescent="0.25">
      <c r="A149" s="24"/>
      <c r="B149" s="25"/>
      <c r="C149" s="24"/>
      <c r="D149" s="24"/>
      <c r="E149" s="26"/>
      <c r="F149" s="24"/>
      <c r="G149" s="24"/>
      <c r="H149" s="24"/>
      <c r="I149" s="24"/>
      <c r="J149" s="24"/>
    </row>
    <row r="150" spans="1:10" x14ac:dyDescent="0.25">
      <c r="A150" s="24"/>
      <c r="B150" s="25"/>
      <c r="C150" s="24"/>
      <c r="D150" s="24"/>
      <c r="E150" s="26"/>
      <c r="F150" s="24"/>
      <c r="G150" s="24"/>
      <c r="H150" s="24"/>
      <c r="I150" s="24"/>
      <c r="J150" s="24"/>
    </row>
    <row r="151" spans="1:10" x14ac:dyDescent="0.25">
      <c r="A151" s="24"/>
      <c r="B151" s="25"/>
      <c r="C151" s="24"/>
      <c r="D151" s="24"/>
      <c r="E151" s="26"/>
      <c r="F151" s="24"/>
      <c r="G151" s="24"/>
      <c r="H151" s="24"/>
      <c r="I151" s="24"/>
      <c r="J151" s="24"/>
    </row>
    <row r="152" spans="1:10" x14ac:dyDescent="0.25">
      <c r="A152" s="24"/>
      <c r="B152" s="25"/>
      <c r="C152" s="24"/>
      <c r="D152" s="24"/>
      <c r="E152" s="26"/>
      <c r="F152" s="24"/>
      <c r="G152" s="24"/>
      <c r="H152" s="24"/>
      <c r="I152" s="24"/>
      <c r="J152" s="24"/>
    </row>
    <row r="153" spans="1:10" x14ac:dyDescent="0.25">
      <c r="A153" s="24"/>
      <c r="B153" s="25"/>
      <c r="C153" s="24"/>
      <c r="D153" s="24"/>
      <c r="E153" s="26"/>
      <c r="F153" s="24"/>
      <c r="G153" s="24"/>
      <c r="H153" s="24"/>
      <c r="I153" s="24"/>
      <c r="J153" s="24"/>
    </row>
    <row r="154" spans="1:10" x14ac:dyDescent="0.25">
      <c r="A154" s="24"/>
      <c r="B154" s="25"/>
      <c r="C154" s="24"/>
      <c r="D154" s="24"/>
      <c r="E154" s="26"/>
      <c r="F154" s="24"/>
      <c r="G154" s="24"/>
      <c r="H154" s="24"/>
      <c r="I154" s="24"/>
      <c r="J154" s="24"/>
    </row>
    <row r="155" spans="1:10" x14ac:dyDescent="0.25">
      <c r="A155" s="24"/>
      <c r="B155" s="25"/>
      <c r="C155" s="24"/>
      <c r="D155" s="24"/>
      <c r="E155" s="26"/>
      <c r="F155" s="24"/>
      <c r="G155" s="24"/>
      <c r="H155" s="24"/>
      <c r="I155" s="24"/>
      <c r="J155" s="24"/>
    </row>
    <row r="156" spans="1:10" x14ac:dyDescent="0.25">
      <c r="A156" s="24"/>
      <c r="B156" s="25"/>
      <c r="C156" s="24"/>
      <c r="D156" s="24"/>
      <c r="E156" s="26"/>
      <c r="F156" s="24"/>
      <c r="G156" s="24"/>
      <c r="H156" s="24"/>
      <c r="I156" s="24"/>
      <c r="J156" s="24"/>
    </row>
    <row r="157" spans="1:10" x14ac:dyDescent="0.25">
      <c r="A157" s="24"/>
      <c r="B157" s="25"/>
      <c r="C157" s="24"/>
      <c r="D157" s="24"/>
      <c r="E157" s="26"/>
      <c r="F157" s="24"/>
      <c r="G157" s="24"/>
      <c r="H157" s="24"/>
      <c r="I157" s="24"/>
      <c r="J157" s="24"/>
    </row>
    <row r="158" spans="1:10" x14ac:dyDescent="0.25">
      <c r="A158" s="24"/>
      <c r="B158" s="25"/>
      <c r="C158" s="24"/>
      <c r="D158" s="24"/>
      <c r="E158" s="26"/>
      <c r="F158" s="24"/>
      <c r="G158" s="24"/>
      <c r="H158" s="24"/>
      <c r="I158" s="24"/>
      <c r="J158" s="24"/>
    </row>
    <row r="159" spans="1:10" x14ac:dyDescent="0.25">
      <c r="A159" s="24"/>
      <c r="B159" s="25"/>
      <c r="C159" s="24"/>
      <c r="D159" s="24"/>
      <c r="E159" s="26"/>
      <c r="F159" s="24"/>
      <c r="G159" s="24"/>
      <c r="H159" s="24"/>
      <c r="I159" s="24"/>
      <c r="J159" s="24"/>
    </row>
    <row r="160" spans="1:10" x14ac:dyDescent="0.25">
      <c r="A160" s="24"/>
      <c r="B160" s="25"/>
      <c r="C160" s="24"/>
      <c r="D160" s="24"/>
      <c r="E160" s="26"/>
      <c r="F160" s="24"/>
      <c r="G160" s="24"/>
      <c r="H160" s="24"/>
      <c r="I160" s="24"/>
      <c r="J160" s="24"/>
    </row>
    <row r="161" spans="1:10" x14ac:dyDescent="0.25">
      <c r="A161" s="24"/>
      <c r="B161" s="25"/>
      <c r="C161" s="24"/>
      <c r="D161" s="24"/>
      <c r="E161" s="26"/>
      <c r="F161" s="24"/>
      <c r="G161" s="24"/>
      <c r="H161" s="24"/>
      <c r="I161" s="24"/>
      <c r="J161" s="24"/>
    </row>
    <row r="162" spans="1:10" x14ac:dyDescent="0.25">
      <c r="A162" s="24"/>
      <c r="B162" s="25"/>
      <c r="C162" s="24"/>
      <c r="D162" s="24"/>
      <c r="E162" s="26"/>
      <c r="F162" s="24"/>
      <c r="G162" s="24"/>
      <c r="H162" s="24"/>
      <c r="I162" s="24"/>
      <c r="J162" s="24"/>
    </row>
    <row r="163" spans="1:10" x14ac:dyDescent="0.25">
      <c r="A163" s="24"/>
      <c r="B163" s="25"/>
      <c r="C163" s="24"/>
      <c r="D163" s="24"/>
      <c r="E163" s="26"/>
      <c r="F163" s="24"/>
      <c r="G163" s="24"/>
      <c r="H163" s="24"/>
      <c r="I163" s="24"/>
      <c r="J163" s="24"/>
    </row>
    <row r="164" spans="1:10" x14ac:dyDescent="0.25">
      <c r="A164" s="24"/>
      <c r="B164" s="25"/>
      <c r="C164" s="24"/>
      <c r="D164" s="24"/>
      <c r="E164" s="26"/>
      <c r="F164" s="24"/>
      <c r="G164" s="24"/>
      <c r="H164" s="24"/>
      <c r="I164" s="24"/>
      <c r="J164" s="24"/>
    </row>
    <row r="165" spans="1:10" x14ac:dyDescent="0.25">
      <c r="A165" s="24"/>
      <c r="B165" s="25"/>
      <c r="C165" s="24"/>
      <c r="D165" s="24"/>
      <c r="E165" s="26"/>
      <c r="F165" s="24"/>
      <c r="G165" s="24"/>
      <c r="H165" s="24"/>
      <c r="I165" s="24"/>
      <c r="J165" s="24"/>
    </row>
    <row r="166" spans="1:10" x14ac:dyDescent="0.25">
      <c r="A166" s="24"/>
      <c r="B166" s="25"/>
      <c r="C166" s="24"/>
      <c r="D166" s="24"/>
      <c r="E166" s="26"/>
      <c r="F166" s="24"/>
      <c r="G166" s="24"/>
      <c r="H166" s="24"/>
      <c r="I166" s="24"/>
      <c r="J166" s="24"/>
    </row>
    <row r="167" spans="1:10" x14ac:dyDescent="0.25">
      <c r="A167" s="24"/>
      <c r="B167" s="25"/>
      <c r="C167" s="24"/>
      <c r="D167" s="24"/>
      <c r="E167" s="26"/>
      <c r="F167" s="24"/>
      <c r="G167" s="24"/>
      <c r="H167" s="24"/>
      <c r="I167" s="24"/>
      <c r="J167" s="24"/>
    </row>
    <row r="168" spans="1:10" x14ac:dyDescent="0.25">
      <c r="A168" s="24"/>
      <c r="B168" s="25"/>
      <c r="C168" s="24"/>
      <c r="D168" s="24"/>
      <c r="E168" s="26"/>
      <c r="F168" s="24"/>
      <c r="G168" s="24"/>
      <c r="H168" s="24"/>
      <c r="I168" s="24"/>
      <c r="J168" s="24"/>
    </row>
    <row r="169" spans="1:10" x14ac:dyDescent="0.25">
      <c r="A169" s="24"/>
      <c r="B169" s="25"/>
      <c r="C169" s="24"/>
      <c r="D169" s="24"/>
      <c r="E169" s="26"/>
      <c r="F169" s="24"/>
      <c r="G169" s="24"/>
      <c r="H169" s="24"/>
      <c r="I169" s="24"/>
      <c r="J169" s="24"/>
    </row>
    <row r="170" spans="1:10" x14ac:dyDescent="0.25">
      <c r="A170" s="24"/>
      <c r="B170" s="25"/>
      <c r="C170" s="24"/>
      <c r="D170" s="24"/>
      <c r="E170" s="26"/>
      <c r="F170" s="24"/>
      <c r="G170" s="24"/>
      <c r="H170" s="24"/>
      <c r="I170" s="24"/>
      <c r="J170" s="24"/>
    </row>
    <row r="171" spans="1:10" x14ac:dyDescent="0.25">
      <c r="A171" s="24"/>
      <c r="B171" s="25"/>
      <c r="C171" s="24"/>
      <c r="D171" s="24"/>
      <c r="E171" s="26"/>
      <c r="F171" s="24"/>
      <c r="G171" s="24"/>
      <c r="H171" s="24"/>
      <c r="I171" s="24"/>
      <c r="J171" s="24"/>
    </row>
    <row r="172" spans="1:10" x14ac:dyDescent="0.25">
      <c r="A172" s="24"/>
      <c r="B172" s="25"/>
      <c r="C172" s="24"/>
      <c r="D172" s="24"/>
      <c r="E172" s="26"/>
      <c r="F172" s="24"/>
      <c r="G172" s="24"/>
      <c r="H172" s="24"/>
      <c r="I172" s="24"/>
      <c r="J172" s="24"/>
    </row>
    <row r="173" spans="1:10" x14ac:dyDescent="0.25">
      <c r="A173" s="24"/>
      <c r="B173" s="25"/>
      <c r="C173" s="24"/>
      <c r="D173" s="24"/>
      <c r="E173" s="26"/>
      <c r="F173" s="24"/>
      <c r="G173" s="24"/>
      <c r="H173" s="24"/>
      <c r="I173" s="24"/>
      <c r="J173" s="24"/>
    </row>
    <row r="174" spans="1:10" x14ac:dyDescent="0.25">
      <c r="A174" s="24"/>
      <c r="B174" s="25"/>
      <c r="C174" s="24"/>
      <c r="D174" s="24"/>
      <c r="E174" s="26"/>
      <c r="F174" s="24"/>
      <c r="G174" s="24"/>
      <c r="H174" s="24"/>
      <c r="I174" s="24"/>
      <c r="J174" s="24"/>
    </row>
    <row r="175" spans="1:10" x14ac:dyDescent="0.25">
      <c r="A175" s="24"/>
      <c r="B175" s="25"/>
      <c r="C175" s="24"/>
      <c r="D175" s="24"/>
      <c r="E175" s="26"/>
      <c r="F175" s="24"/>
      <c r="G175" s="24"/>
      <c r="H175" s="24"/>
      <c r="I175" s="24"/>
      <c r="J175" s="24"/>
    </row>
    <row r="176" spans="1:10" x14ac:dyDescent="0.25">
      <c r="A176" s="24"/>
      <c r="B176" s="25"/>
      <c r="C176" s="24"/>
      <c r="D176" s="24"/>
      <c r="E176" s="26"/>
      <c r="F176" s="24"/>
      <c r="G176" s="24"/>
      <c r="H176" s="24"/>
      <c r="I176" s="24"/>
      <c r="J176" s="24"/>
    </row>
    <row r="177" spans="1:10" x14ac:dyDescent="0.25">
      <c r="A177" s="24"/>
      <c r="B177" s="25"/>
      <c r="C177" s="24"/>
      <c r="D177" s="24"/>
      <c r="E177" s="26"/>
      <c r="F177" s="24"/>
      <c r="G177" s="24"/>
      <c r="H177" s="24"/>
      <c r="I177" s="24"/>
      <c r="J177" s="24"/>
    </row>
    <row r="178" spans="1:10" x14ac:dyDescent="0.25">
      <c r="A178" s="24"/>
      <c r="B178" s="25"/>
      <c r="C178" s="24"/>
      <c r="D178" s="24"/>
      <c r="E178" s="26"/>
      <c r="F178" s="24"/>
      <c r="G178" s="24"/>
      <c r="H178" s="24"/>
      <c r="I178" s="24"/>
      <c r="J178" s="24"/>
    </row>
    <row r="179" spans="1:10" x14ac:dyDescent="0.25">
      <c r="A179" s="24"/>
      <c r="B179" s="25"/>
      <c r="C179" s="24"/>
      <c r="D179" s="24"/>
      <c r="E179" s="26"/>
      <c r="F179" s="24"/>
      <c r="G179" s="24"/>
      <c r="H179" s="24"/>
      <c r="I179" s="24"/>
      <c r="J179" s="24"/>
    </row>
    <row r="180" spans="1:10" x14ac:dyDescent="0.25">
      <c r="A180" s="24"/>
      <c r="B180" s="25"/>
      <c r="C180" s="24"/>
      <c r="D180" s="24"/>
      <c r="E180" s="26"/>
      <c r="F180" s="24"/>
      <c r="G180" s="24"/>
      <c r="H180" s="24"/>
      <c r="I180" s="24"/>
      <c r="J180" s="24"/>
    </row>
    <row r="181" spans="1:10" x14ac:dyDescent="0.25">
      <c r="A181" s="24"/>
      <c r="B181" s="25"/>
      <c r="C181" s="24"/>
      <c r="D181" s="24"/>
      <c r="E181" s="26"/>
      <c r="F181" s="24"/>
      <c r="G181" s="24"/>
      <c r="H181" s="24"/>
      <c r="I181" s="24"/>
      <c r="J181" s="24"/>
    </row>
    <row r="182" spans="1:10" x14ac:dyDescent="0.25">
      <c r="A182" s="24"/>
      <c r="B182" s="25"/>
      <c r="C182" s="24"/>
      <c r="D182" s="24"/>
      <c r="E182" s="26"/>
      <c r="F182" s="24"/>
      <c r="G182" s="24"/>
      <c r="H182" s="24"/>
      <c r="I182" s="24"/>
      <c r="J182" s="24"/>
    </row>
    <row r="183" spans="1:10" x14ac:dyDescent="0.25">
      <c r="A183" s="24"/>
      <c r="B183" s="25"/>
      <c r="C183" s="24"/>
      <c r="D183" s="24"/>
      <c r="E183" s="26"/>
      <c r="F183" s="24"/>
      <c r="G183" s="24"/>
      <c r="H183" s="24"/>
      <c r="I183" s="24"/>
      <c r="J183" s="24"/>
    </row>
    <row r="184" spans="1:10" x14ac:dyDescent="0.25">
      <c r="A184" s="24"/>
      <c r="B184" s="25"/>
      <c r="C184" s="24"/>
      <c r="D184" s="24"/>
      <c r="E184" s="26"/>
      <c r="F184" s="24"/>
      <c r="G184" s="24"/>
      <c r="H184" s="24"/>
      <c r="I184" s="24"/>
      <c r="J184" s="24"/>
    </row>
    <row r="185" spans="1:10" x14ac:dyDescent="0.25">
      <c r="A185" s="24"/>
      <c r="B185" s="25"/>
      <c r="C185" s="24"/>
      <c r="D185" s="24"/>
      <c r="E185" s="26"/>
      <c r="F185" s="24"/>
      <c r="G185" s="24"/>
      <c r="H185" s="24"/>
      <c r="I185" s="24"/>
      <c r="J185" s="24"/>
    </row>
    <row r="186" spans="1:10" x14ac:dyDescent="0.25">
      <c r="A186" s="24"/>
      <c r="B186" s="25"/>
      <c r="C186" s="24"/>
      <c r="D186" s="24"/>
      <c r="E186" s="26"/>
      <c r="F186" s="24"/>
      <c r="G186" s="24"/>
      <c r="H186" s="24"/>
      <c r="I186" s="24"/>
      <c r="J186" s="24"/>
    </row>
    <row r="187" spans="1:10" x14ac:dyDescent="0.25">
      <c r="A187" s="24"/>
      <c r="B187" s="25"/>
      <c r="C187" s="24"/>
      <c r="D187" s="24"/>
      <c r="E187" s="26"/>
      <c r="F187" s="24"/>
      <c r="G187" s="24"/>
      <c r="H187" s="24"/>
      <c r="I187" s="24"/>
      <c r="J187" s="24"/>
    </row>
    <row r="188" spans="1:10" x14ac:dyDescent="0.25">
      <c r="A188" s="24"/>
      <c r="B188" s="25"/>
      <c r="C188" s="24"/>
      <c r="D188" s="24"/>
      <c r="E188" s="26"/>
      <c r="F188" s="24"/>
      <c r="G188" s="24"/>
      <c r="H188" s="24"/>
      <c r="I188" s="24"/>
      <c r="J188" s="24"/>
    </row>
    <row r="189" spans="1:10" x14ac:dyDescent="0.25">
      <c r="A189" s="24"/>
      <c r="B189" s="25"/>
      <c r="C189" s="24"/>
      <c r="D189" s="24"/>
      <c r="E189" s="26"/>
      <c r="F189" s="24"/>
      <c r="G189" s="24"/>
      <c r="H189" s="24"/>
      <c r="I189" s="24"/>
      <c r="J189" s="24"/>
    </row>
    <row r="190" spans="1:10" x14ac:dyDescent="0.25">
      <c r="A190" s="24"/>
      <c r="B190" s="25"/>
      <c r="C190" s="24"/>
      <c r="D190" s="24"/>
      <c r="E190" s="26"/>
      <c r="F190" s="24"/>
      <c r="G190" s="24"/>
      <c r="H190" s="24"/>
      <c r="I190" s="24"/>
      <c r="J190" s="24"/>
    </row>
    <row r="191" spans="1:10" x14ac:dyDescent="0.25">
      <c r="A191" s="24"/>
      <c r="B191" s="25"/>
      <c r="C191" s="24"/>
      <c r="D191" s="24"/>
      <c r="E191" s="26"/>
      <c r="F191" s="24"/>
      <c r="G191" s="24"/>
      <c r="H191" s="24"/>
      <c r="I191" s="24"/>
      <c r="J191" s="24"/>
    </row>
    <row r="192" spans="1:10" x14ac:dyDescent="0.25">
      <c r="A192" s="24"/>
      <c r="B192" s="25"/>
      <c r="C192" s="24"/>
      <c r="D192" s="24"/>
      <c r="E192" s="26"/>
      <c r="F192" s="24"/>
      <c r="G192" s="24"/>
      <c r="H192" s="24"/>
      <c r="I192" s="24"/>
      <c r="J192" s="24"/>
    </row>
    <row r="193" spans="1:10" x14ac:dyDescent="0.25">
      <c r="A193" s="24"/>
      <c r="B193" s="25"/>
      <c r="C193" s="24"/>
      <c r="D193" s="24"/>
      <c r="E193" s="26"/>
      <c r="F193" s="24"/>
      <c r="G193" s="24"/>
      <c r="H193" s="24"/>
      <c r="I193" s="24"/>
      <c r="J193" s="24"/>
    </row>
    <row r="194" spans="1:10" x14ac:dyDescent="0.25">
      <c r="A194" s="24"/>
      <c r="B194" s="25"/>
      <c r="C194" s="24"/>
      <c r="D194" s="24"/>
      <c r="E194" s="26"/>
      <c r="F194" s="24"/>
      <c r="G194" s="24"/>
      <c r="H194" s="24"/>
      <c r="I194" s="24"/>
      <c r="J194" s="24"/>
    </row>
    <row r="195" spans="1:10" x14ac:dyDescent="0.25">
      <c r="A195" s="24"/>
      <c r="B195" s="25"/>
      <c r="C195" s="24"/>
      <c r="D195" s="24"/>
      <c r="E195" s="26"/>
      <c r="F195" s="24"/>
      <c r="G195" s="24"/>
      <c r="H195" s="24"/>
      <c r="I195" s="24"/>
      <c r="J195" s="24"/>
    </row>
    <row r="196" spans="1:10" x14ac:dyDescent="0.25">
      <c r="A196" s="24"/>
      <c r="B196" s="25"/>
      <c r="C196" s="24"/>
      <c r="D196" s="24"/>
      <c r="E196" s="26"/>
      <c r="F196" s="24"/>
      <c r="G196" s="24"/>
      <c r="H196" s="24"/>
      <c r="I196" s="24"/>
      <c r="J196" s="24"/>
    </row>
    <row r="197" spans="1:10" x14ac:dyDescent="0.25">
      <c r="A197" s="24"/>
      <c r="B197" s="25"/>
      <c r="C197" s="24"/>
      <c r="D197" s="24"/>
      <c r="E197" s="26"/>
      <c r="F197" s="24"/>
      <c r="G197" s="24"/>
      <c r="H197" s="24"/>
      <c r="I197" s="24"/>
      <c r="J197" s="24"/>
    </row>
    <row r="198" spans="1:10" x14ac:dyDescent="0.25">
      <c r="A198" s="24"/>
      <c r="B198" s="25"/>
      <c r="C198" s="24"/>
      <c r="D198" s="24"/>
      <c r="E198" s="26"/>
      <c r="F198" s="24"/>
      <c r="G198" s="24"/>
      <c r="H198" s="24"/>
      <c r="I198" s="24"/>
      <c r="J198" s="24"/>
    </row>
    <row r="199" spans="1:10" x14ac:dyDescent="0.25">
      <c r="A199" s="24"/>
      <c r="B199" s="25"/>
      <c r="C199" s="24"/>
      <c r="D199" s="24"/>
      <c r="E199" s="26"/>
      <c r="F199" s="24"/>
      <c r="G199" s="24"/>
      <c r="H199" s="24"/>
      <c r="I199" s="24"/>
      <c r="J199" s="24"/>
    </row>
    <row r="200" spans="1:10" x14ac:dyDescent="0.25">
      <c r="A200" s="24"/>
      <c r="B200" s="25"/>
      <c r="C200" s="24"/>
      <c r="D200" s="24"/>
      <c r="E200" s="26"/>
      <c r="F200" s="24"/>
      <c r="G200" s="24"/>
      <c r="H200" s="24"/>
      <c r="I200" s="24"/>
      <c r="J200" s="24"/>
    </row>
    <row r="201" spans="1:10" x14ac:dyDescent="0.25">
      <c r="A201" s="24"/>
      <c r="B201" s="25"/>
      <c r="C201" s="24"/>
      <c r="D201" s="24"/>
      <c r="E201" s="26"/>
      <c r="F201" s="24"/>
      <c r="G201" s="24"/>
      <c r="H201" s="24"/>
      <c r="I201" s="24"/>
      <c r="J201" s="24"/>
    </row>
    <row r="202" spans="1:10" x14ac:dyDescent="0.25">
      <c r="A202" s="24"/>
      <c r="B202" s="25"/>
      <c r="C202" s="24"/>
      <c r="D202" s="24"/>
      <c r="E202" s="26"/>
      <c r="F202" s="24"/>
      <c r="G202" s="24"/>
      <c r="H202" s="24"/>
      <c r="I202" s="24"/>
      <c r="J202" s="24"/>
    </row>
    <row r="203" spans="1:10" x14ac:dyDescent="0.25">
      <c r="A203" s="24"/>
      <c r="B203" s="25"/>
      <c r="C203" s="24"/>
      <c r="D203" s="24"/>
      <c r="E203" s="26"/>
      <c r="F203" s="24"/>
      <c r="G203" s="24"/>
      <c r="H203" s="24"/>
      <c r="I203" s="24"/>
      <c r="J203" s="24"/>
    </row>
  </sheetData>
  <mergeCells count="1">
    <mergeCell ref="A1:J1"/>
  </mergeCells>
  <dataValidations count="2">
    <dataValidation type="list" allowBlank="1" sqref="C4:C203" xr:uid="{00000000-0002-0000-0300-000000000000}">
      <formula1>"اشتراك منصة,أدوات AI,حملات إعلانية,استضافة ودومين,برمجة وتطوير,أجهزة ومعدات,عمولات,تشغيل,أخرى"</formula1>
    </dataValidation>
    <dataValidation type="list" allowBlank="1" sqref="I4:I203" xr:uid="{00000000-0002-0000-0300-000001000000}">
      <formula1>"نعم,لا"</formula1>
    </dataValidation>
  </dataValidations>
  <pageMargins left="0.25" right="0.2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3"/>
  <sheetViews>
    <sheetView rightToLeft="1" workbookViewId="0">
      <pane ySplit="3" topLeftCell="A4" activePane="bottomLeft" state="frozen"/>
      <selection pane="bottomLeft" activeCell="B4" sqref="B4"/>
    </sheetView>
  </sheetViews>
  <sheetFormatPr defaultRowHeight="15" x14ac:dyDescent="0.25"/>
  <cols>
    <col min="1" max="1" width="14" customWidth="1"/>
    <col min="2" max="2" width="22" customWidth="1"/>
    <col min="3" max="3" width="30" customWidth="1"/>
    <col min="4" max="4" width="16" customWidth="1"/>
    <col min="5" max="5" width="24" customWidth="1"/>
    <col min="6" max="6" width="18" customWidth="1"/>
    <col min="7" max="7" width="30" customWidth="1"/>
    <col min="8" max="8" width="18" customWidth="1"/>
  </cols>
  <sheetData>
    <row r="1" spans="1:8" ht="30" customHeight="1" x14ac:dyDescent="0.35">
      <c r="A1" s="21" t="s">
        <v>42</v>
      </c>
      <c r="B1" s="14"/>
      <c r="C1" s="14"/>
      <c r="D1" s="14"/>
      <c r="E1" s="14"/>
      <c r="F1" s="14"/>
      <c r="G1" s="14"/>
      <c r="H1" s="14"/>
    </row>
    <row r="3" spans="1:8" x14ac:dyDescent="0.25">
      <c r="A3" s="9" t="s">
        <v>35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31</v>
      </c>
      <c r="H3" s="9" t="s">
        <v>48</v>
      </c>
    </row>
    <row r="4" spans="1:8" x14ac:dyDescent="0.25">
      <c r="A4" s="7"/>
      <c r="D4" s="4"/>
      <c r="H4" s="4" t="str">
        <f>IF(D4="","",SUM($D$4:D4))</f>
        <v/>
      </c>
    </row>
    <row r="5" spans="1:8" x14ac:dyDescent="0.25">
      <c r="A5" s="7"/>
      <c r="D5" s="4"/>
      <c r="H5" s="4" t="str">
        <f>IF(D5="","",SUM($D$4:D5))</f>
        <v/>
      </c>
    </row>
    <row r="6" spans="1:8" x14ac:dyDescent="0.25">
      <c r="A6" s="7"/>
      <c r="D6" s="4"/>
      <c r="H6" s="4" t="str">
        <f>IF(D6="","",SUM($D$4:D6))</f>
        <v/>
      </c>
    </row>
    <row r="7" spans="1:8" x14ac:dyDescent="0.25">
      <c r="A7" s="7"/>
      <c r="D7" s="4"/>
      <c r="H7" s="4" t="str">
        <f>IF(D7="","",SUM($D$4:D7))</f>
        <v/>
      </c>
    </row>
    <row r="8" spans="1:8" x14ac:dyDescent="0.25">
      <c r="A8" s="7"/>
      <c r="D8" s="4"/>
      <c r="H8" s="4" t="str">
        <f>IF(D8="","",SUM($D$4:D8))</f>
        <v/>
      </c>
    </row>
    <row r="9" spans="1:8" x14ac:dyDescent="0.25">
      <c r="A9" s="7"/>
      <c r="D9" s="4"/>
      <c r="H9" s="4" t="str">
        <f>IF(D9="","",SUM($D$4:D9))</f>
        <v/>
      </c>
    </row>
    <row r="10" spans="1:8" x14ac:dyDescent="0.25">
      <c r="A10" s="7"/>
      <c r="D10" s="4"/>
      <c r="H10" s="4" t="str">
        <f>IF(D10="","",SUM($D$4:D10))</f>
        <v/>
      </c>
    </row>
    <row r="11" spans="1:8" x14ac:dyDescent="0.25">
      <c r="A11" s="7"/>
      <c r="D11" s="4"/>
      <c r="H11" s="4" t="str">
        <f>IF(D11="","",SUM($D$4:D11))</f>
        <v/>
      </c>
    </row>
    <row r="12" spans="1:8" x14ac:dyDescent="0.25">
      <c r="A12" s="7"/>
      <c r="D12" s="4"/>
      <c r="H12" s="4" t="str">
        <f>IF(D12="","",SUM($D$4:D12))</f>
        <v/>
      </c>
    </row>
    <row r="13" spans="1:8" x14ac:dyDescent="0.25">
      <c r="A13" s="7"/>
      <c r="D13" s="4"/>
      <c r="H13" s="4" t="str">
        <f>IF(D13="","",SUM($D$4:D13))</f>
        <v/>
      </c>
    </row>
    <row r="14" spans="1:8" x14ac:dyDescent="0.25">
      <c r="A14" s="7"/>
      <c r="D14" s="4"/>
      <c r="H14" s="4" t="str">
        <f>IF(D14="","",SUM($D$4:D14))</f>
        <v/>
      </c>
    </row>
    <row r="15" spans="1:8" x14ac:dyDescent="0.25">
      <c r="A15" s="7"/>
      <c r="D15" s="4"/>
      <c r="H15" s="4" t="str">
        <f>IF(D15="","",SUM($D$4:D15))</f>
        <v/>
      </c>
    </row>
    <row r="16" spans="1:8" x14ac:dyDescent="0.25">
      <c r="A16" s="7"/>
      <c r="D16" s="4"/>
      <c r="H16" s="4" t="str">
        <f>IF(D16="","",SUM($D$4:D16))</f>
        <v/>
      </c>
    </row>
    <row r="17" spans="1:8" x14ac:dyDescent="0.25">
      <c r="A17" s="7"/>
      <c r="D17" s="4"/>
      <c r="H17" s="4" t="str">
        <f>IF(D17="","",SUM($D$4:D17))</f>
        <v/>
      </c>
    </row>
    <row r="18" spans="1:8" x14ac:dyDescent="0.25">
      <c r="A18" s="7"/>
      <c r="D18" s="4"/>
      <c r="H18" s="4" t="str">
        <f>IF(D18="","",SUM($D$4:D18))</f>
        <v/>
      </c>
    </row>
    <row r="19" spans="1:8" x14ac:dyDescent="0.25">
      <c r="A19" s="7"/>
      <c r="D19" s="4"/>
      <c r="H19" s="4" t="str">
        <f>IF(D19="","",SUM($D$4:D19))</f>
        <v/>
      </c>
    </row>
    <row r="20" spans="1:8" x14ac:dyDescent="0.25">
      <c r="A20" s="7"/>
      <c r="D20" s="4"/>
      <c r="H20" s="4" t="str">
        <f>IF(D20="","",SUM($D$4:D20))</f>
        <v/>
      </c>
    </row>
    <row r="21" spans="1:8" x14ac:dyDescent="0.25">
      <c r="A21" s="7"/>
      <c r="D21" s="4"/>
      <c r="H21" s="4" t="str">
        <f>IF(D21="","",SUM($D$4:D21))</f>
        <v/>
      </c>
    </row>
    <row r="22" spans="1:8" x14ac:dyDescent="0.25">
      <c r="A22" s="7"/>
      <c r="D22" s="4"/>
      <c r="H22" s="4" t="str">
        <f>IF(D22="","",SUM($D$4:D22))</f>
        <v/>
      </c>
    </row>
    <row r="23" spans="1:8" x14ac:dyDescent="0.25">
      <c r="A23" s="7"/>
      <c r="D23" s="4"/>
      <c r="H23" s="4" t="str">
        <f>IF(D23="","",SUM($D$4:D23))</f>
        <v/>
      </c>
    </row>
    <row r="24" spans="1:8" x14ac:dyDescent="0.25">
      <c r="A24" s="7"/>
      <c r="D24" s="4"/>
      <c r="H24" s="4" t="str">
        <f>IF(D24="","",SUM($D$4:D24))</f>
        <v/>
      </c>
    </row>
    <row r="25" spans="1:8" x14ac:dyDescent="0.25">
      <c r="A25" s="7"/>
      <c r="D25" s="4"/>
      <c r="H25" s="4" t="str">
        <f>IF(D25="","",SUM($D$4:D25))</f>
        <v/>
      </c>
    </row>
    <row r="26" spans="1:8" x14ac:dyDescent="0.25">
      <c r="A26" s="7"/>
      <c r="D26" s="4"/>
      <c r="H26" s="4" t="str">
        <f>IF(D26="","",SUM($D$4:D26))</f>
        <v/>
      </c>
    </row>
    <row r="27" spans="1:8" x14ac:dyDescent="0.25">
      <c r="A27" s="7"/>
      <c r="D27" s="4"/>
      <c r="H27" s="4" t="str">
        <f>IF(D27="","",SUM($D$4:D27))</f>
        <v/>
      </c>
    </row>
    <row r="28" spans="1:8" x14ac:dyDescent="0.25">
      <c r="A28" s="7"/>
      <c r="D28" s="4"/>
      <c r="H28" s="4" t="str">
        <f>IF(D28="","",SUM($D$4:D28))</f>
        <v/>
      </c>
    </row>
    <row r="29" spans="1:8" x14ac:dyDescent="0.25">
      <c r="A29" s="7"/>
      <c r="D29" s="4"/>
      <c r="H29" s="4" t="str">
        <f>IF(D29="","",SUM($D$4:D29))</f>
        <v/>
      </c>
    </row>
    <row r="30" spans="1:8" x14ac:dyDescent="0.25">
      <c r="A30" s="7"/>
      <c r="D30" s="4"/>
      <c r="H30" s="4" t="str">
        <f>IF(D30="","",SUM($D$4:D30))</f>
        <v/>
      </c>
    </row>
    <row r="31" spans="1:8" x14ac:dyDescent="0.25">
      <c r="A31" s="7"/>
      <c r="D31" s="4"/>
      <c r="H31" s="4" t="str">
        <f>IF(D31="","",SUM($D$4:D31))</f>
        <v/>
      </c>
    </row>
    <row r="32" spans="1:8" x14ac:dyDescent="0.25">
      <c r="A32" s="7"/>
      <c r="D32" s="4"/>
      <c r="H32" s="4" t="str">
        <f>IF(D32="","",SUM($D$4:D32))</f>
        <v/>
      </c>
    </row>
    <row r="33" spans="1:8" x14ac:dyDescent="0.25">
      <c r="A33" s="7"/>
      <c r="D33" s="4"/>
      <c r="H33" s="4" t="str">
        <f>IF(D33="","",SUM($D$4:D33))</f>
        <v/>
      </c>
    </row>
    <row r="34" spans="1:8" x14ac:dyDescent="0.25">
      <c r="A34" s="7"/>
      <c r="D34" s="4"/>
      <c r="H34" s="4" t="str">
        <f>IF(D34="","",SUM($D$4:D34))</f>
        <v/>
      </c>
    </row>
    <row r="35" spans="1:8" x14ac:dyDescent="0.25">
      <c r="A35" s="7"/>
      <c r="D35" s="4"/>
      <c r="H35" s="4" t="str">
        <f>IF(D35="","",SUM($D$4:D35))</f>
        <v/>
      </c>
    </row>
    <row r="36" spans="1:8" x14ac:dyDescent="0.25">
      <c r="A36" s="7"/>
      <c r="D36" s="4"/>
      <c r="H36" s="4" t="str">
        <f>IF(D36="","",SUM($D$4:D36))</f>
        <v/>
      </c>
    </row>
    <row r="37" spans="1:8" x14ac:dyDescent="0.25">
      <c r="A37" s="7"/>
      <c r="D37" s="4"/>
      <c r="H37" s="4" t="str">
        <f>IF(D37="","",SUM($D$4:D37))</f>
        <v/>
      </c>
    </row>
    <row r="38" spans="1:8" x14ac:dyDescent="0.25">
      <c r="A38" s="7"/>
      <c r="D38" s="4"/>
      <c r="H38" s="4" t="str">
        <f>IF(D38="","",SUM($D$4:D38))</f>
        <v/>
      </c>
    </row>
    <row r="39" spans="1:8" x14ac:dyDescent="0.25">
      <c r="A39" s="7"/>
      <c r="D39" s="4"/>
      <c r="H39" s="4" t="str">
        <f>IF(D39="","",SUM($D$4:D39))</f>
        <v/>
      </c>
    </row>
    <row r="40" spans="1:8" x14ac:dyDescent="0.25">
      <c r="A40" s="7"/>
      <c r="D40" s="4"/>
      <c r="H40" s="4" t="str">
        <f>IF(D40="","",SUM($D$4:D40))</f>
        <v/>
      </c>
    </row>
    <row r="41" spans="1:8" x14ac:dyDescent="0.25">
      <c r="A41" s="7"/>
      <c r="D41" s="4"/>
      <c r="H41" s="4" t="str">
        <f>IF(D41="","",SUM($D$4:D41))</f>
        <v/>
      </c>
    </row>
    <row r="42" spans="1:8" x14ac:dyDescent="0.25">
      <c r="A42" s="7"/>
      <c r="D42" s="4"/>
      <c r="H42" s="4" t="str">
        <f>IF(D42="","",SUM($D$4:D42))</f>
        <v/>
      </c>
    </row>
    <row r="43" spans="1:8" x14ac:dyDescent="0.25">
      <c r="A43" s="7"/>
      <c r="D43" s="4"/>
      <c r="H43" s="4" t="str">
        <f>IF(D43="","",SUM($D$4:D43))</f>
        <v/>
      </c>
    </row>
    <row r="44" spans="1:8" x14ac:dyDescent="0.25">
      <c r="A44" s="7"/>
      <c r="D44" s="4"/>
      <c r="H44" s="4" t="str">
        <f>IF(D44="","",SUM($D$4:D44))</f>
        <v/>
      </c>
    </row>
    <row r="45" spans="1:8" x14ac:dyDescent="0.25">
      <c r="A45" s="7"/>
      <c r="D45" s="4"/>
      <c r="H45" s="4" t="str">
        <f>IF(D45="","",SUM($D$4:D45))</f>
        <v/>
      </c>
    </row>
    <row r="46" spans="1:8" x14ac:dyDescent="0.25">
      <c r="A46" s="7"/>
      <c r="D46" s="4"/>
      <c r="H46" s="4" t="str">
        <f>IF(D46="","",SUM($D$4:D46))</f>
        <v/>
      </c>
    </row>
    <row r="47" spans="1:8" x14ac:dyDescent="0.25">
      <c r="A47" s="7"/>
      <c r="D47" s="4"/>
      <c r="H47" s="4" t="str">
        <f>IF(D47="","",SUM($D$4:D47))</f>
        <v/>
      </c>
    </row>
    <row r="48" spans="1:8" x14ac:dyDescent="0.25">
      <c r="A48" s="7"/>
      <c r="D48" s="4"/>
      <c r="H48" s="4" t="str">
        <f>IF(D48="","",SUM($D$4:D48))</f>
        <v/>
      </c>
    </row>
    <row r="49" spans="1:8" x14ac:dyDescent="0.25">
      <c r="A49" s="7"/>
      <c r="D49" s="4"/>
      <c r="H49" s="4" t="str">
        <f>IF(D49="","",SUM($D$4:D49))</f>
        <v/>
      </c>
    </row>
    <row r="50" spans="1:8" x14ac:dyDescent="0.25">
      <c r="A50" s="7"/>
      <c r="D50" s="4"/>
      <c r="H50" s="4" t="str">
        <f>IF(D50="","",SUM($D$4:D50))</f>
        <v/>
      </c>
    </row>
    <row r="51" spans="1:8" x14ac:dyDescent="0.25">
      <c r="A51" s="7"/>
      <c r="D51" s="4"/>
      <c r="H51" s="4" t="str">
        <f>IF(D51="","",SUM($D$4:D51))</f>
        <v/>
      </c>
    </row>
    <row r="52" spans="1:8" x14ac:dyDescent="0.25">
      <c r="A52" s="7"/>
      <c r="D52" s="4"/>
      <c r="H52" s="4" t="str">
        <f>IF(D52="","",SUM($D$4:D52))</f>
        <v/>
      </c>
    </row>
    <row r="53" spans="1:8" x14ac:dyDescent="0.25">
      <c r="A53" s="7"/>
      <c r="D53" s="4"/>
      <c r="H53" s="4" t="str">
        <f>IF(D53="","",SUM($D$4:D53))</f>
        <v/>
      </c>
    </row>
    <row r="54" spans="1:8" x14ac:dyDescent="0.25">
      <c r="A54" s="7"/>
      <c r="D54" s="4"/>
      <c r="H54" s="4" t="str">
        <f>IF(D54="","",SUM($D$4:D54))</f>
        <v/>
      </c>
    </row>
    <row r="55" spans="1:8" x14ac:dyDescent="0.25">
      <c r="A55" s="7"/>
      <c r="D55" s="4"/>
      <c r="H55" s="4" t="str">
        <f>IF(D55="","",SUM($D$4:D55))</f>
        <v/>
      </c>
    </row>
    <row r="56" spans="1:8" x14ac:dyDescent="0.25">
      <c r="A56" s="7"/>
      <c r="D56" s="4"/>
      <c r="H56" s="4" t="str">
        <f>IF(D56="","",SUM($D$4:D56))</f>
        <v/>
      </c>
    </row>
    <row r="57" spans="1:8" x14ac:dyDescent="0.25">
      <c r="A57" s="7"/>
      <c r="D57" s="4"/>
      <c r="H57" s="4" t="str">
        <f>IF(D57="","",SUM($D$4:D57))</f>
        <v/>
      </c>
    </row>
    <row r="58" spans="1:8" x14ac:dyDescent="0.25">
      <c r="A58" s="7"/>
      <c r="D58" s="4"/>
      <c r="H58" s="4" t="str">
        <f>IF(D58="","",SUM($D$4:D58))</f>
        <v/>
      </c>
    </row>
    <row r="59" spans="1:8" x14ac:dyDescent="0.25">
      <c r="A59" s="7"/>
      <c r="D59" s="4"/>
      <c r="H59" s="4" t="str">
        <f>IF(D59="","",SUM($D$4:D59))</f>
        <v/>
      </c>
    </row>
    <row r="60" spans="1:8" x14ac:dyDescent="0.25">
      <c r="A60" s="7"/>
      <c r="D60" s="4"/>
      <c r="H60" s="4" t="str">
        <f>IF(D60="","",SUM($D$4:D60))</f>
        <v/>
      </c>
    </row>
    <row r="61" spans="1:8" x14ac:dyDescent="0.25">
      <c r="A61" s="7"/>
      <c r="D61" s="4"/>
      <c r="H61" s="4" t="str">
        <f>IF(D61="","",SUM($D$4:D61))</f>
        <v/>
      </c>
    </row>
    <row r="62" spans="1:8" x14ac:dyDescent="0.25">
      <c r="A62" s="7"/>
      <c r="D62" s="4"/>
      <c r="H62" s="4" t="str">
        <f>IF(D62="","",SUM($D$4:D62))</f>
        <v/>
      </c>
    </row>
    <row r="63" spans="1:8" x14ac:dyDescent="0.25">
      <c r="A63" s="7"/>
      <c r="D63" s="4"/>
      <c r="H63" s="4" t="str">
        <f>IF(D63="","",SUM($D$4:D63))</f>
        <v/>
      </c>
    </row>
    <row r="64" spans="1:8" x14ac:dyDescent="0.25">
      <c r="A64" s="7"/>
      <c r="D64" s="4"/>
      <c r="H64" s="4" t="str">
        <f>IF(D64="","",SUM($D$4:D64))</f>
        <v/>
      </c>
    </row>
    <row r="65" spans="1:8" x14ac:dyDescent="0.25">
      <c r="A65" s="7"/>
      <c r="D65" s="4"/>
      <c r="H65" s="4" t="str">
        <f>IF(D65="","",SUM($D$4:D65))</f>
        <v/>
      </c>
    </row>
    <row r="66" spans="1:8" x14ac:dyDescent="0.25">
      <c r="A66" s="7"/>
      <c r="D66" s="4"/>
      <c r="H66" s="4" t="str">
        <f>IF(D66="","",SUM($D$4:D66))</f>
        <v/>
      </c>
    </row>
    <row r="67" spans="1:8" x14ac:dyDescent="0.25">
      <c r="A67" s="7"/>
      <c r="D67" s="4"/>
      <c r="H67" s="4" t="str">
        <f>IF(D67="","",SUM($D$4:D67))</f>
        <v/>
      </c>
    </row>
    <row r="68" spans="1:8" x14ac:dyDescent="0.25">
      <c r="A68" s="7"/>
      <c r="D68" s="4"/>
      <c r="H68" s="4" t="str">
        <f>IF(D68="","",SUM($D$4:D68))</f>
        <v/>
      </c>
    </row>
    <row r="69" spans="1:8" x14ac:dyDescent="0.25">
      <c r="A69" s="7"/>
      <c r="D69" s="4"/>
      <c r="H69" s="4" t="str">
        <f>IF(D69="","",SUM($D$4:D69))</f>
        <v/>
      </c>
    </row>
    <row r="70" spans="1:8" x14ac:dyDescent="0.25">
      <c r="A70" s="7"/>
      <c r="D70" s="4"/>
      <c r="H70" s="4" t="str">
        <f>IF(D70="","",SUM($D$4:D70))</f>
        <v/>
      </c>
    </row>
    <row r="71" spans="1:8" x14ac:dyDescent="0.25">
      <c r="A71" s="7"/>
      <c r="D71" s="4"/>
      <c r="H71" s="4" t="str">
        <f>IF(D71="","",SUM($D$4:D71))</f>
        <v/>
      </c>
    </row>
    <row r="72" spans="1:8" x14ac:dyDescent="0.25">
      <c r="A72" s="7"/>
      <c r="D72" s="4"/>
      <c r="H72" s="4" t="str">
        <f>IF(D72="","",SUM($D$4:D72))</f>
        <v/>
      </c>
    </row>
    <row r="73" spans="1:8" x14ac:dyDescent="0.25">
      <c r="A73" s="7"/>
      <c r="D73" s="4"/>
      <c r="H73" s="4" t="str">
        <f>IF(D73="","",SUM($D$4:D73))</f>
        <v/>
      </c>
    </row>
    <row r="74" spans="1:8" x14ac:dyDescent="0.25">
      <c r="A74" s="7"/>
      <c r="D74" s="4"/>
      <c r="H74" s="4" t="str">
        <f>IF(D74="","",SUM($D$4:D74))</f>
        <v/>
      </c>
    </row>
    <row r="75" spans="1:8" x14ac:dyDescent="0.25">
      <c r="A75" s="7"/>
      <c r="D75" s="4"/>
      <c r="H75" s="4" t="str">
        <f>IF(D75="","",SUM($D$4:D75))</f>
        <v/>
      </c>
    </row>
    <row r="76" spans="1:8" x14ac:dyDescent="0.25">
      <c r="A76" s="7"/>
      <c r="D76" s="4"/>
      <c r="H76" s="4" t="str">
        <f>IF(D76="","",SUM($D$4:D76))</f>
        <v/>
      </c>
    </row>
    <row r="77" spans="1:8" x14ac:dyDescent="0.25">
      <c r="A77" s="7"/>
      <c r="D77" s="4"/>
      <c r="H77" s="4" t="str">
        <f>IF(D77="","",SUM($D$4:D77))</f>
        <v/>
      </c>
    </row>
    <row r="78" spans="1:8" x14ac:dyDescent="0.25">
      <c r="A78" s="7"/>
      <c r="D78" s="4"/>
      <c r="H78" s="4" t="str">
        <f>IF(D78="","",SUM($D$4:D78))</f>
        <v/>
      </c>
    </row>
    <row r="79" spans="1:8" x14ac:dyDescent="0.25">
      <c r="A79" s="7"/>
      <c r="D79" s="4"/>
      <c r="H79" s="4" t="str">
        <f>IF(D79="","",SUM($D$4:D79))</f>
        <v/>
      </c>
    </row>
    <row r="80" spans="1:8" x14ac:dyDescent="0.25">
      <c r="A80" s="7"/>
      <c r="D80" s="4"/>
      <c r="H80" s="4" t="str">
        <f>IF(D80="","",SUM($D$4:D80))</f>
        <v/>
      </c>
    </row>
    <row r="81" spans="1:8" x14ac:dyDescent="0.25">
      <c r="A81" s="7"/>
      <c r="D81" s="4"/>
      <c r="H81" s="4" t="str">
        <f>IF(D81="","",SUM($D$4:D81))</f>
        <v/>
      </c>
    </row>
    <row r="82" spans="1:8" x14ac:dyDescent="0.25">
      <c r="A82" s="7"/>
      <c r="D82" s="4"/>
      <c r="H82" s="4" t="str">
        <f>IF(D82="","",SUM($D$4:D82))</f>
        <v/>
      </c>
    </row>
    <row r="83" spans="1:8" x14ac:dyDescent="0.25">
      <c r="A83" s="7"/>
      <c r="D83" s="4"/>
      <c r="H83" s="4" t="str">
        <f>IF(D83="","",SUM($D$4:D83))</f>
        <v/>
      </c>
    </row>
    <row r="84" spans="1:8" x14ac:dyDescent="0.25">
      <c r="A84" s="7"/>
      <c r="D84" s="4"/>
      <c r="H84" s="4" t="str">
        <f>IF(D84="","",SUM($D$4:D84))</f>
        <v/>
      </c>
    </row>
    <row r="85" spans="1:8" x14ac:dyDescent="0.25">
      <c r="A85" s="7"/>
      <c r="D85" s="4"/>
      <c r="H85" s="4" t="str">
        <f>IF(D85="","",SUM($D$4:D85))</f>
        <v/>
      </c>
    </row>
    <row r="86" spans="1:8" x14ac:dyDescent="0.25">
      <c r="A86" s="7"/>
      <c r="D86" s="4"/>
      <c r="H86" s="4" t="str">
        <f>IF(D86="","",SUM($D$4:D86))</f>
        <v/>
      </c>
    </row>
    <row r="87" spans="1:8" x14ac:dyDescent="0.25">
      <c r="A87" s="7"/>
      <c r="D87" s="4"/>
      <c r="H87" s="4" t="str">
        <f>IF(D87="","",SUM($D$4:D87))</f>
        <v/>
      </c>
    </row>
    <row r="88" spans="1:8" x14ac:dyDescent="0.25">
      <c r="A88" s="7"/>
      <c r="D88" s="4"/>
      <c r="H88" s="4" t="str">
        <f>IF(D88="","",SUM($D$4:D88))</f>
        <v/>
      </c>
    </row>
    <row r="89" spans="1:8" x14ac:dyDescent="0.25">
      <c r="A89" s="7"/>
      <c r="D89" s="4"/>
      <c r="H89" s="4" t="str">
        <f>IF(D89="","",SUM($D$4:D89))</f>
        <v/>
      </c>
    </row>
    <row r="90" spans="1:8" x14ac:dyDescent="0.25">
      <c r="A90" s="7"/>
      <c r="D90" s="4"/>
      <c r="H90" s="4" t="str">
        <f>IF(D90="","",SUM($D$4:D90))</f>
        <v/>
      </c>
    </row>
    <row r="91" spans="1:8" x14ac:dyDescent="0.25">
      <c r="A91" s="7"/>
      <c r="D91" s="4"/>
      <c r="H91" s="4" t="str">
        <f>IF(D91="","",SUM($D$4:D91))</f>
        <v/>
      </c>
    </row>
    <row r="92" spans="1:8" x14ac:dyDescent="0.25">
      <c r="A92" s="7"/>
      <c r="D92" s="4"/>
      <c r="H92" s="4" t="str">
        <f>IF(D92="","",SUM($D$4:D92))</f>
        <v/>
      </c>
    </row>
    <row r="93" spans="1:8" x14ac:dyDescent="0.25">
      <c r="A93" s="7"/>
      <c r="D93" s="4"/>
      <c r="H93" s="4" t="str">
        <f>IF(D93="","",SUM($D$4:D93))</f>
        <v/>
      </c>
    </row>
    <row r="94" spans="1:8" x14ac:dyDescent="0.25">
      <c r="A94" s="7"/>
      <c r="D94" s="4"/>
      <c r="H94" s="4" t="str">
        <f>IF(D94="","",SUM($D$4:D94))</f>
        <v/>
      </c>
    </row>
    <row r="95" spans="1:8" x14ac:dyDescent="0.25">
      <c r="A95" s="7"/>
      <c r="D95" s="4"/>
      <c r="H95" s="4" t="str">
        <f>IF(D95="","",SUM($D$4:D95))</f>
        <v/>
      </c>
    </row>
    <row r="96" spans="1:8" x14ac:dyDescent="0.25">
      <c r="A96" s="7"/>
      <c r="D96" s="4"/>
      <c r="H96" s="4" t="str">
        <f>IF(D96="","",SUM($D$4:D96))</f>
        <v/>
      </c>
    </row>
    <row r="97" spans="1:8" x14ac:dyDescent="0.25">
      <c r="A97" s="7"/>
      <c r="D97" s="4"/>
      <c r="H97" s="4" t="str">
        <f>IF(D97="","",SUM($D$4:D97))</f>
        <v/>
      </c>
    </row>
    <row r="98" spans="1:8" x14ac:dyDescent="0.25">
      <c r="A98" s="7"/>
      <c r="D98" s="4"/>
      <c r="H98" s="4" t="str">
        <f>IF(D98="","",SUM($D$4:D98))</f>
        <v/>
      </c>
    </row>
    <row r="99" spans="1:8" x14ac:dyDescent="0.25">
      <c r="A99" s="7"/>
      <c r="D99" s="4"/>
      <c r="H99" s="4" t="str">
        <f>IF(D99="","",SUM($D$4:D99))</f>
        <v/>
      </c>
    </row>
    <row r="100" spans="1:8" x14ac:dyDescent="0.25">
      <c r="A100" s="7"/>
      <c r="D100" s="4"/>
      <c r="H100" s="4" t="str">
        <f>IF(D100="","",SUM($D$4:D100))</f>
        <v/>
      </c>
    </row>
    <row r="101" spans="1:8" x14ac:dyDescent="0.25">
      <c r="A101" s="7"/>
      <c r="D101" s="4"/>
      <c r="H101" s="4" t="str">
        <f>IF(D101="","",SUM($D$4:D101))</f>
        <v/>
      </c>
    </row>
    <row r="102" spans="1:8" x14ac:dyDescent="0.25">
      <c r="A102" s="7"/>
      <c r="D102" s="4"/>
      <c r="H102" s="4" t="str">
        <f>IF(D102="","",SUM($D$4:D102))</f>
        <v/>
      </c>
    </row>
    <row r="103" spans="1:8" x14ac:dyDescent="0.25">
      <c r="A103" s="7"/>
      <c r="D103" s="4"/>
      <c r="H103" s="4" t="str">
        <f>IF(D103="","",SUM($D$4:D103))</f>
        <v/>
      </c>
    </row>
    <row r="104" spans="1:8" x14ac:dyDescent="0.25">
      <c r="A104" s="7"/>
      <c r="D104" s="4"/>
      <c r="H104" s="4" t="str">
        <f>IF(D104="","",SUM($D$4:D104))</f>
        <v/>
      </c>
    </row>
    <row r="105" spans="1:8" x14ac:dyDescent="0.25">
      <c r="A105" s="7"/>
      <c r="D105" s="4"/>
      <c r="H105" s="4" t="str">
        <f>IF(D105="","",SUM($D$4:D105))</f>
        <v/>
      </c>
    </row>
    <row r="106" spans="1:8" x14ac:dyDescent="0.25">
      <c r="A106" s="7"/>
      <c r="D106" s="4"/>
      <c r="H106" s="4" t="str">
        <f>IF(D106="","",SUM($D$4:D106))</f>
        <v/>
      </c>
    </row>
    <row r="107" spans="1:8" x14ac:dyDescent="0.25">
      <c r="A107" s="7"/>
      <c r="D107" s="4"/>
      <c r="H107" s="4" t="str">
        <f>IF(D107="","",SUM($D$4:D107))</f>
        <v/>
      </c>
    </row>
    <row r="108" spans="1:8" x14ac:dyDescent="0.25">
      <c r="A108" s="7"/>
      <c r="D108" s="4"/>
      <c r="H108" s="4" t="str">
        <f>IF(D108="","",SUM($D$4:D108))</f>
        <v/>
      </c>
    </row>
    <row r="109" spans="1:8" x14ac:dyDescent="0.25">
      <c r="A109" s="7"/>
      <c r="D109" s="4"/>
      <c r="H109" s="4" t="str">
        <f>IF(D109="","",SUM($D$4:D109))</f>
        <v/>
      </c>
    </row>
    <row r="110" spans="1:8" x14ac:dyDescent="0.25">
      <c r="A110" s="7"/>
      <c r="D110" s="4"/>
      <c r="H110" s="4" t="str">
        <f>IF(D110="","",SUM($D$4:D110))</f>
        <v/>
      </c>
    </row>
    <row r="111" spans="1:8" x14ac:dyDescent="0.25">
      <c r="A111" s="7"/>
      <c r="D111" s="4"/>
      <c r="H111" s="4" t="str">
        <f>IF(D111="","",SUM($D$4:D111))</f>
        <v/>
      </c>
    </row>
    <row r="112" spans="1:8" x14ac:dyDescent="0.25">
      <c r="A112" s="7"/>
      <c r="D112" s="4"/>
      <c r="H112" s="4" t="str">
        <f>IF(D112="","",SUM($D$4:D112))</f>
        <v/>
      </c>
    </row>
    <row r="113" spans="1:8" x14ac:dyDescent="0.25">
      <c r="A113" s="7"/>
      <c r="D113" s="4"/>
      <c r="H113" s="4" t="str">
        <f>IF(D113="","",SUM($D$4:D113))</f>
        <v/>
      </c>
    </row>
    <row r="114" spans="1:8" x14ac:dyDescent="0.25">
      <c r="A114" s="7"/>
      <c r="D114" s="4"/>
      <c r="H114" s="4" t="str">
        <f>IF(D114="","",SUM($D$4:D114))</f>
        <v/>
      </c>
    </row>
    <row r="115" spans="1:8" x14ac:dyDescent="0.25">
      <c r="A115" s="7"/>
      <c r="D115" s="4"/>
      <c r="H115" s="4" t="str">
        <f>IF(D115="","",SUM($D$4:D115))</f>
        <v/>
      </c>
    </row>
    <row r="116" spans="1:8" x14ac:dyDescent="0.25">
      <c r="A116" s="7"/>
      <c r="D116" s="4"/>
      <c r="H116" s="4" t="str">
        <f>IF(D116="","",SUM($D$4:D116))</f>
        <v/>
      </c>
    </row>
    <row r="117" spans="1:8" x14ac:dyDescent="0.25">
      <c r="A117" s="7"/>
      <c r="D117" s="4"/>
      <c r="H117" s="4" t="str">
        <f>IF(D117="","",SUM($D$4:D117))</f>
        <v/>
      </c>
    </row>
    <row r="118" spans="1:8" x14ac:dyDescent="0.25">
      <c r="A118" s="7"/>
      <c r="D118" s="4"/>
      <c r="H118" s="4" t="str">
        <f>IF(D118="","",SUM($D$4:D118))</f>
        <v/>
      </c>
    </row>
    <row r="119" spans="1:8" x14ac:dyDescent="0.25">
      <c r="A119" s="7"/>
      <c r="D119" s="4"/>
      <c r="H119" s="4" t="str">
        <f>IF(D119="","",SUM($D$4:D119))</f>
        <v/>
      </c>
    </row>
    <row r="120" spans="1:8" x14ac:dyDescent="0.25">
      <c r="A120" s="7"/>
      <c r="D120" s="4"/>
      <c r="H120" s="4" t="str">
        <f>IF(D120="","",SUM($D$4:D120))</f>
        <v/>
      </c>
    </row>
    <row r="121" spans="1:8" x14ac:dyDescent="0.25">
      <c r="A121" s="7"/>
      <c r="D121" s="4"/>
      <c r="H121" s="4" t="str">
        <f>IF(D121="","",SUM($D$4:D121))</f>
        <v/>
      </c>
    </row>
    <row r="122" spans="1:8" x14ac:dyDescent="0.25">
      <c r="A122" s="7"/>
      <c r="D122" s="4"/>
      <c r="H122" s="4" t="str">
        <f>IF(D122="","",SUM($D$4:D122))</f>
        <v/>
      </c>
    </row>
    <row r="123" spans="1:8" x14ac:dyDescent="0.25">
      <c r="A123" s="7"/>
      <c r="D123" s="4"/>
      <c r="H123" s="4" t="str">
        <f>IF(D123="","",SUM($D$4:D123))</f>
        <v/>
      </c>
    </row>
    <row r="124" spans="1:8" x14ac:dyDescent="0.25">
      <c r="A124" s="7"/>
      <c r="D124" s="4"/>
      <c r="H124" s="4" t="str">
        <f>IF(D124="","",SUM($D$4:D124))</f>
        <v/>
      </c>
    </row>
    <row r="125" spans="1:8" x14ac:dyDescent="0.25">
      <c r="A125" s="7"/>
      <c r="D125" s="4"/>
      <c r="H125" s="4" t="str">
        <f>IF(D125="","",SUM($D$4:D125))</f>
        <v/>
      </c>
    </row>
    <row r="126" spans="1:8" x14ac:dyDescent="0.25">
      <c r="A126" s="7"/>
      <c r="D126" s="4"/>
      <c r="H126" s="4" t="str">
        <f>IF(D126="","",SUM($D$4:D126))</f>
        <v/>
      </c>
    </row>
    <row r="127" spans="1:8" x14ac:dyDescent="0.25">
      <c r="A127" s="7"/>
      <c r="D127" s="4"/>
      <c r="H127" s="4" t="str">
        <f>IF(D127="","",SUM($D$4:D127))</f>
        <v/>
      </c>
    </row>
    <row r="128" spans="1:8" x14ac:dyDescent="0.25">
      <c r="A128" s="7"/>
      <c r="D128" s="4"/>
      <c r="H128" s="4" t="str">
        <f>IF(D128="","",SUM($D$4:D128))</f>
        <v/>
      </c>
    </row>
    <row r="129" spans="1:8" x14ac:dyDescent="0.25">
      <c r="A129" s="7"/>
      <c r="D129" s="4"/>
      <c r="H129" s="4" t="str">
        <f>IF(D129="","",SUM($D$4:D129))</f>
        <v/>
      </c>
    </row>
    <row r="130" spans="1:8" x14ac:dyDescent="0.25">
      <c r="A130" s="7"/>
      <c r="D130" s="4"/>
      <c r="H130" s="4" t="str">
        <f>IF(D130="","",SUM($D$4:D130))</f>
        <v/>
      </c>
    </row>
    <row r="131" spans="1:8" x14ac:dyDescent="0.25">
      <c r="A131" s="7"/>
      <c r="D131" s="4"/>
      <c r="H131" s="4" t="str">
        <f>IF(D131="","",SUM($D$4:D131))</f>
        <v/>
      </c>
    </row>
    <row r="132" spans="1:8" x14ac:dyDescent="0.25">
      <c r="A132" s="7"/>
      <c r="D132" s="4"/>
      <c r="H132" s="4" t="str">
        <f>IF(D132="","",SUM($D$4:D132))</f>
        <v/>
      </c>
    </row>
    <row r="133" spans="1:8" x14ac:dyDescent="0.25">
      <c r="A133" s="7"/>
      <c r="D133" s="4"/>
      <c r="H133" s="4" t="str">
        <f>IF(D133="","",SUM($D$4:D133))</f>
        <v/>
      </c>
    </row>
    <row r="134" spans="1:8" x14ac:dyDescent="0.25">
      <c r="A134" s="7"/>
      <c r="D134" s="4"/>
      <c r="H134" s="4" t="str">
        <f>IF(D134="","",SUM($D$4:D134))</f>
        <v/>
      </c>
    </row>
    <row r="135" spans="1:8" x14ac:dyDescent="0.25">
      <c r="A135" s="7"/>
      <c r="D135" s="4"/>
      <c r="H135" s="4" t="str">
        <f>IF(D135="","",SUM($D$4:D135))</f>
        <v/>
      </c>
    </row>
    <row r="136" spans="1:8" x14ac:dyDescent="0.25">
      <c r="A136" s="7"/>
      <c r="D136" s="4"/>
      <c r="H136" s="4" t="str">
        <f>IF(D136="","",SUM($D$4:D136))</f>
        <v/>
      </c>
    </row>
    <row r="137" spans="1:8" x14ac:dyDescent="0.25">
      <c r="A137" s="7"/>
      <c r="D137" s="4"/>
      <c r="H137" s="4" t="str">
        <f>IF(D137="","",SUM($D$4:D137))</f>
        <v/>
      </c>
    </row>
    <row r="138" spans="1:8" x14ac:dyDescent="0.25">
      <c r="A138" s="7"/>
      <c r="D138" s="4"/>
      <c r="H138" s="4" t="str">
        <f>IF(D138="","",SUM($D$4:D138))</f>
        <v/>
      </c>
    </row>
    <row r="139" spans="1:8" x14ac:dyDescent="0.25">
      <c r="A139" s="7"/>
      <c r="D139" s="4"/>
      <c r="H139" s="4" t="str">
        <f>IF(D139="","",SUM($D$4:D139))</f>
        <v/>
      </c>
    </row>
    <row r="140" spans="1:8" x14ac:dyDescent="0.25">
      <c r="A140" s="7"/>
      <c r="D140" s="4"/>
      <c r="H140" s="4" t="str">
        <f>IF(D140="","",SUM($D$4:D140))</f>
        <v/>
      </c>
    </row>
    <row r="141" spans="1:8" x14ac:dyDescent="0.25">
      <c r="A141" s="7"/>
      <c r="D141" s="4"/>
      <c r="H141" s="4" t="str">
        <f>IF(D141="","",SUM($D$4:D141))</f>
        <v/>
      </c>
    </row>
    <row r="142" spans="1:8" x14ac:dyDescent="0.25">
      <c r="A142" s="7"/>
      <c r="D142" s="4"/>
      <c r="H142" s="4" t="str">
        <f>IF(D142="","",SUM($D$4:D142))</f>
        <v/>
      </c>
    </row>
    <row r="143" spans="1:8" x14ac:dyDescent="0.25">
      <c r="A143" s="7"/>
      <c r="D143" s="4"/>
      <c r="H143" s="4" t="str">
        <f>IF(D143="","",SUM($D$4:D143))</f>
        <v/>
      </c>
    </row>
    <row r="144" spans="1:8" x14ac:dyDescent="0.25">
      <c r="A144" s="7"/>
      <c r="D144" s="4"/>
      <c r="H144" s="4" t="str">
        <f>IF(D144="","",SUM($D$4:D144))</f>
        <v/>
      </c>
    </row>
    <row r="145" spans="1:8" x14ac:dyDescent="0.25">
      <c r="A145" s="7"/>
      <c r="D145" s="4"/>
      <c r="H145" s="4" t="str">
        <f>IF(D145="","",SUM($D$4:D145))</f>
        <v/>
      </c>
    </row>
    <row r="146" spans="1:8" x14ac:dyDescent="0.25">
      <c r="A146" s="7"/>
      <c r="D146" s="4"/>
      <c r="H146" s="4" t="str">
        <f>IF(D146="","",SUM($D$4:D146))</f>
        <v/>
      </c>
    </row>
    <row r="147" spans="1:8" x14ac:dyDescent="0.25">
      <c r="A147" s="7"/>
      <c r="D147" s="4"/>
      <c r="H147" s="4" t="str">
        <f>IF(D147="","",SUM($D$4:D147))</f>
        <v/>
      </c>
    </row>
    <row r="148" spans="1:8" x14ac:dyDescent="0.25">
      <c r="A148" s="7"/>
      <c r="D148" s="4"/>
      <c r="H148" s="4" t="str">
        <f>IF(D148="","",SUM($D$4:D148))</f>
        <v/>
      </c>
    </row>
    <row r="149" spans="1:8" x14ac:dyDescent="0.25">
      <c r="A149" s="7"/>
      <c r="D149" s="4"/>
      <c r="H149" s="4" t="str">
        <f>IF(D149="","",SUM($D$4:D149))</f>
        <v/>
      </c>
    </row>
    <row r="150" spans="1:8" x14ac:dyDescent="0.25">
      <c r="A150" s="7"/>
      <c r="D150" s="4"/>
      <c r="H150" s="4" t="str">
        <f>IF(D150="","",SUM($D$4:D150))</f>
        <v/>
      </c>
    </row>
    <row r="151" spans="1:8" x14ac:dyDescent="0.25">
      <c r="A151" s="7"/>
      <c r="D151" s="4"/>
      <c r="H151" s="4" t="str">
        <f>IF(D151="","",SUM($D$4:D151))</f>
        <v/>
      </c>
    </row>
    <row r="152" spans="1:8" x14ac:dyDescent="0.25">
      <c r="A152" s="7"/>
      <c r="D152" s="4"/>
      <c r="H152" s="4" t="str">
        <f>IF(D152="","",SUM($D$4:D152))</f>
        <v/>
      </c>
    </row>
    <row r="153" spans="1:8" x14ac:dyDescent="0.25">
      <c r="A153" s="7"/>
      <c r="D153" s="4"/>
      <c r="H153" s="4" t="str">
        <f>IF(D153="","",SUM($D$4:D153))</f>
        <v/>
      </c>
    </row>
    <row r="154" spans="1:8" x14ac:dyDescent="0.25">
      <c r="A154" s="7"/>
      <c r="D154" s="4"/>
      <c r="H154" s="4" t="str">
        <f>IF(D154="","",SUM($D$4:D154))</f>
        <v/>
      </c>
    </row>
    <row r="155" spans="1:8" x14ac:dyDescent="0.25">
      <c r="A155" s="7"/>
      <c r="D155" s="4"/>
      <c r="H155" s="4" t="str">
        <f>IF(D155="","",SUM($D$4:D155))</f>
        <v/>
      </c>
    </row>
    <row r="156" spans="1:8" x14ac:dyDescent="0.25">
      <c r="A156" s="7"/>
      <c r="D156" s="4"/>
      <c r="H156" s="4" t="str">
        <f>IF(D156="","",SUM($D$4:D156))</f>
        <v/>
      </c>
    </row>
    <row r="157" spans="1:8" x14ac:dyDescent="0.25">
      <c r="A157" s="7"/>
      <c r="D157" s="4"/>
      <c r="H157" s="4" t="str">
        <f>IF(D157="","",SUM($D$4:D157))</f>
        <v/>
      </c>
    </row>
    <row r="158" spans="1:8" x14ac:dyDescent="0.25">
      <c r="A158" s="7"/>
      <c r="D158" s="4"/>
      <c r="H158" s="4" t="str">
        <f>IF(D158="","",SUM($D$4:D158))</f>
        <v/>
      </c>
    </row>
    <row r="159" spans="1:8" x14ac:dyDescent="0.25">
      <c r="A159" s="7"/>
      <c r="D159" s="4"/>
      <c r="H159" s="4" t="str">
        <f>IF(D159="","",SUM($D$4:D159))</f>
        <v/>
      </c>
    </row>
    <row r="160" spans="1:8" x14ac:dyDescent="0.25">
      <c r="A160" s="7"/>
      <c r="D160" s="4"/>
      <c r="H160" s="4" t="str">
        <f>IF(D160="","",SUM($D$4:D160))</f>
        <v/>
      </c>
    </row>
    <row r="161" spans="1:8" x14ac:dyDescent="0.25">
      <c r="A161" s="7"/>
      <c r="D161" s="4"/>
      <c r="H161" s="4" t="str">
        <f>IF(D161="","",SUM($D$4:D161))</f>
        <v/>
      </c>
    </row>
    <row r="162" spans="1:8" x14ac:dyDescent="0.25">
      <c r="A162" s="7"/>
      <c r="D162" s="4"/>
      <c r="H162" s="4" t="str">
        <f>IF(D162="","",SUM($D$4:D162))</f>
        <v/>
      </c>
    </row>
    <row r="163" spans="1:8" x14ac:dyDescent="0.25">
      <c r="A163" s="7"/>
      <c r="D163" s="4"/>
      <c r="H163" s="4" t="str">
        <f>IF(D163="","",SUM($D$4:D163))</f>
        <v/>
      </c>
    </row>
    <row r="164" spans="1:8" x14ac:dyDescent="0.25">
      <c r="A164" s="7"/>
      <c r="D164" s="4"/>
      <c r="H164" s="4" t="str">
        <f>IF(D164="","",SUM($D$4:D164))</f>
        <v/>
      </c>
    </row>
    <row r="165" spans="1:8" x14ac:dyDescent="0.25">
      <c r="A165" s="7"/>
      <c r="D165" s="4"/>
      <c r="H165" s="4" t="str">
        <f>IF(D165="","",SUM($D$4:D165))</f>
        <v/>
      </c>
    </row>
    <row r="166" spans="1:8" x14ac:dyDescent="0.25">
      <c r="A166" s="7"/>
      <c r="D166" s="4"/>
      <c r="H166" s="4" t="str">
        <f>IF(D166="","",SUM($D$4:D166))</f>
        <v/>
      </c>
    </row>
    <row r="167" spans="1:8" x14ac:dyDescent="0.25">
      <c r="A167" s="7"/>
      <c r="D167" s="4"/>
      <c r="H167" s="4" t="str">
        <f>IF(D167="","",SUM($D$4:D167))</f>
        <v/>
      </c>
    </row>
    <row r="168" spans="1:8" x14ac:dyDescent="0.25">
      <c r="A168" s="7"/>
      <c r="D168" s="4"/>
      <c r="H168" s="4" t="str">
        <f>IF(D168="","",SUM($D$4:D168))</f>
        <v/>
      </c>
    </row>
    <row r="169" spans="1:8" x14ac:dyDescent="0.25">
      <c r="A169" s="7"/>
      <c r="D169" s="4"/>
      <c r="H169" s="4" t="str">
        <f>IF(D169="","",SUM($D$4:D169))</f>
        <v/>
      </c>
    </row>
    <row r="170" spans="1:8" x14ac:dyDescent="0.25">
      <c r="A170" s="7"/>
      <c r="D170" s="4"/>
      <c r="H170" s="4" t="str">
        <f>IF(D170="","",SUM($D$4:D170))</f>
        <v/>
      </c>
    </row>
    <row r="171" spans="1:8" x14ac:dyDescent="0.25">
      <c r="A171" s="7"/>
      <c r="D171" s="4"/>
      <c r="H171" s="4" t="str">
        <f>IF(D171="","",SUM($D$4:D171))</f>
        <v/>
      </c>
    </row>
    <row r="172" spans="1:8" x14ac:dyDescent="0.25">
      <c r="A172" s="7"/>
      <c r="D172" s="4"/>
      <c r="H172" s="4" t="str">
        <f>IF(D172="","",SUM($D$4:D172))</f>
        <v/>
      </c>
    </row>
    <row r="173" spans="1:8" x14ac:dyDescent="0.25">
      <c r="A173" s="7"/>
      <c r="D173" s="4"/>
      <c r="H173" s="4" t="str">
        <f>IF(D173="","",SUM($D$4:D173))</f>
        <v/>
      </c>
    </row>
    <row r="174" spans="1:8" x14ac:dyDescent="0.25">
      <c r="A174" s="7"/>
      <c r="D174" s="4"/>
      <c r="H174" s="4" t="str">
        <f>IF(D174="","",SUM($D$4:D174))</f>
        <v/>
      </c>
    </row>
    <row r="175" spans="1:8" x14ac:dyDescent="0.25">
      <c r="A175" s="7"/>
      <c r="D175" s="4"/>
      <c r="H175" s="4" t="str">
        <f>IF(D175="","",SUM($D$4:D175))</f>
        <v/>
      </c>
    </row>
    <row r="176" spans="1:8" x14ac:dyDescent="0.25">
      <c r="A176" s="7"/>
      <c r="D176" s="4"/>
      <c r="H176" s="4" t="str">
        <f>IF(D176="","",SUM($D$4:D176))</f>
        <v/>
      </c>
    </row>
    <row r="177" spans="1:8" x14ac:dyDescent="0.25">
      <c r="A177" s="7"/>
      <c r="D177" s="4"/>
      <c r="H177" s="4" t="str">
        <f>IF(D177="","",SUM($D$4:D177))</f>
        <v/>
      </c>
    </row>
    <row r="178" spans="1:8" x14ac:dyDescent="0.25">
      <c r="A178" s="7"/>
      <c r="D178" s="4"/>
      <c r="H178" s="4" t="str">
        <f>IF(D178="","",SUM($D$4:D178))</f>
        <v/>
      </c>
    </row>
    <row r="179" spans="1:8" x14ac:dyDescent="0.25">
      <c r="A179" s="7"/>
      <c r="D179" s="4"/>
      <c r="H179" s="4" t="str">
        <f>IF(D179="","",SUM($D$4:D179))</f>
        <v/>
      </c>
    </row>
    <row r="180" spans="1:8" x14ac:dyDescent="0.25">
      <c r="A180" s="7"/>
      <c r="D180" s="4"/>
      <c r="H180" s="4" t="str">
        <f>IF(D180="","",SUM($D$4:D180))</f>
        <v/>
      </c>
    </row>
    <row r="181" spans="1:8" x14ac:dyDescent="0.25">
      <c r="A181" s="7"/>
      <c r="D181" s="4"/>
      <c r="H181" s="4" t="str">
        <f>IF(D181="","",SUM($D$4:D181))</f>
        <v/>
      </c>
    </row>
    <row r="182" spans="1:8" x14ac:dyDescent="0.25">
      <c r="A182" s="7"/>
      <c r="D182" s="4"/>
      <c r="H182" s="4" t="str">
        <f>IF(D182="","",SUM($D$4:D182))</f>
        <v/>
      </c>
    </row>
    <row r="183" spans="1:8" x14ac:dyDescent="0.25">
      <c r="A183" s="7"/>
      <c r="D183" s="4"/>
      <c r="H183" s="4" t="str">
        <f>IF(D183="","",SUM($D$4:D183))</f>
        <v/>
      </c>
    </row>
    <row r="184" spans="1:8" x14ac:dyDescent="0.25">
      <c r="A184" s="7"/>
      <c r="D184" s="4"/>
      <c r="H184" s="4" t="str">
        <f>IF(D184="","",SUM($D$4:D184))</f>
        <v/>
      </c>
    </row>
    <row r="185" spans="1:8" x14ac:dyDescent="0.25">
      <c r="A185" s="7"/>
      <c r="D185" s="4"/>
      <c r="H185" s="4" t="str">
        <f>IF(D185="","",SUM($D$4:D185))</f>
        <v/>
      </c>
    </row>
    <row r="186" spans="1:8" x14ac:dyDescent="0.25">
      <c r="A186" s="7"/>
      <c r="D186" s="4"/>
      <c r="H186" s="4" t="str">
        <f>IF(D186="","",SUM($D$4:D186))</f>
        <v/>
      </c>
    </row>
    <row r="187" spans="1:8" x14ac:dyDescent="0.25">
      <c r="A187" s="7"/>
      <c r="D187" s="4"/>
      <c r="H187" s="4" t="str">
        <f>IF(D187="","",SUM($D$4:D187))</f>
        <v/>
      </c>
    </row>
    <row r="188" spans="1:8" x14ac:dyDescent="0.25">
      <c r="A188" s="7"/>
      <c r="D188" s="4"/>
      <c r="H188" s="4" t="str">
        <f>IF(D188="","",SUM($D$4:D188))</f>
        <v/>
      </c>
    </row>
    <row r="189" spans="1:8" x14ac:dyDescent="0.25">
      <c r="A189" s="7"/>
      <c r="D189" s="4"/>
      <c r="H189" s="4" t="str">
        <f>IF(D189="","",SUM($D$4:D189))</f>
        <v/>
      </c>
    </row>
    <row r="190" spans="1:8" x14ac:dyDescent="0.25">
      <c r="A190" s="7"/>
      <c r="D190" s="4"/>
      <c r="H190" s="4" t="str">
        <f>IF(D190="","",SUM($D$4:D190))</f>
        <v/>
      </c>
    </row>
    <row r="191" spans="1:8" x14ac:dyDescent="0.25">
      <c r="A191" s="7"/>
      <c r="D191" s="4"/>
      <c r="H191" s="4" t="str">
        <f>IF(D191="","",SUM($D$4:D191))</f>
        <v/>
      </c>
    </row>
    <row r="192" spans="1:8" x14ac:dyDescent="0.25">
      <c r="A192" s="7"/>
      <c r="D192" s="4"/>
      <c r="H192" s="4" t="str">
        <f>IF(D192="","",SUM($D$4:D192))</f>
        <v/>
      </c>
    </row>
    <row r="193" spans="1:8" x14ac:dyDescent="0.25">
      <c r="A193" s="7"/>
      <c r="D193" s="4"/>
      <c r="H193" s="4" t="str">
        <f>IF(D193="","",SUM($D$4:D193))</f>
        <v/>
      </c>
    </row>
    <row r="194" spans="1:8" x14ac:dyDescent="0.25">
      <c r="A194" s="7"/>
      <c r="D194" s="4"/>
      <c r="H194" s="4" t="str">
        <f>IF(D194="","",SUM($D$4:D194))</f>
        <v/>
      </c>
    </row>
    <row r="195" spans="1:8" x14ac:dyDescent="0.25">
      <c r="A195" s="7"/>
      <c r="D195" s="4"/>
      <c r="H195" s="4" t="str">
        <f>IF(D195="","",SUM($D$4:D195))</f>
        <v/>
      </c>
    </row>
    <row r="196" spans="1:8" x14ac:dyDescent="0.25">
      <c r="A196" s="7"/>
      <c r="D196" s="4"/>
      <c r="H196" s="4" t="str">
        <f>IF(D196="","",SUM($D$4:D196))</f>
        <v/>
      </c>
    </row>
    <row r="197" spans="1:8" x14ac:dyDescent="0.25">
      <c r="A197" s="7"/>
      <c r="D197" s="4"/>
      <c r="H197" s="4" t="str">
        <f>IF(D197="","",SUM($D$4:D197))</f>
        <v/>
      </c>
    </row>
    <row r="198" spans="1:8" x14ac:dyDescent="0.25">
      <c r="A198" s="7"/>
      <c r="D198" s="4"/>
      <c r="H198" s="4" t="str">
        <f>IF(D198="","",SUM($D$4:D198))</f>
        <v/>
      </c>
    </row>
    <row r="199" spans="1:8" x14ac:dyDescent="0.25">
      <c r="A199" s="7"/>
      <c r="D199" s="4"/>
      <c r="H199" s="4" t="str">
        <f>IF(D199="","",SUM($D$4:D199))</f>
        <v/>
      </c>
    </row>
    <row r="200" spans="1:8" x14ac:dyDescent="0.25">
      <c r="A200" s="7"/>
      <c r="D200" s="4"/>
      <c r="H200" s="4" t="str">
        <f>IF(D200="","",SUM($D$4:D200))</f>
        <v/>
      </c>
    </row>
    <row r="201" spans="1:8" x14ac:dyDescent="0.25">
      <c r="A201" s="7"/>
      <c r="D201" s="4"/>
      <c r="H201" s="4" t="str">
        <f>IF(D201="","",SUM($D$4:D201))</f>
        <v/>
      </c>
    </row>
    <row r="202" spans="1:8" x14ac:dyDescent="0.25">
      <c r="A202" s="7"/>
      <c r="D202" s="4"/>
      <c r="H202" s="4" t="str">
        <f>IF(D202="","",SUM($D$4:D202))</f>
        <v/>
      </c>
    </row>
    <row r="203" spans="1:8" x14ac:dyDescent="0.25">
      <c r="A203" s="7"/>
      <c r="D203" s="4"/>
      <c r="H203" s="4" t="str">
        <f>IF(D203="","",SUM($D$4:D203))</f>
        <v/>
      </c>
    </row>
  </sheetData>
  <mergeCells count="1">
    <mergeCell ref="A1:H1"/>
  </mergeCells>
  <dataValidations count="1">
    <dataValidation type="list" allowBlank="1" sqref="B4:B203" xr:uid="{00000000-0002-0000-0400-000000000000}">
      <formula1>"إضافة رأس مال,تغذية مرتدة 15%,سحب من رأس المال,تعديل"</formula1>
    </dataValidation>
  </dataValidations>
  <pageMargins left="0.25" right="0.2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3"/>
  <sheetViews>
    <sheetView rightToLeft="1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14" customWidth="1"/>
    <col min="2" max="2" width="18" customWidth="1"/>
    <col min="3" max="3" width="12" customWidth="1"/>
    <col min="4" max="5" width="18" customWidth="1"/>
    <col min="6" max="6" width="25" customWidth="1"/>
    <col min="7" max="7" width="35" customWidth="1"/>
  </cols>
  <sheetData>
    <row r="1" spans="1:7" ht="30" customHeight="1" x14ac:dyDescent="0.35">
      <c r="A1" s="21" t="s">
        <v>49</v>
      </c>
      <c r="B1" s="14"/>
      <c r="C1" s="14"/>
      <c r="D1" s="14"/>
      <c r="E1" s="14"/>
      <c r="F1" s="14"/>
      <c r="G1" s="14"/>
    </row>
    <row r="3" spans="1:7" x14ac:dyDescent="0.25">
      <c r="A3" s="10" t="s">
        <v>35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31</v>
      </c>
    </row>
    <row r="4" spans="1:7" x14ac:dyDescent="0.25">
      <c r="A4" s="7"/>
      <c r="B4" s="4"/>
      <c r="C4" s="5" t="str">
        <f>IF(B4="","",Settings!$B$5)</f>
        <v/>
      </c>
      <c r="D4" s="4" t="str">
        <f t="shared" ref="D4:D35" si="0">IF(B4="","",MAX(0,B4*C4))</f>
        <v/>
      </c>
      <c r="E4" s="4"/>
    </row>
    <row r="5" spans="1:7" x14ac:dyDescent="0.25">
      <c r="A5" s="7"/>
      <c r="B5" s="4"/>
      <c r="C5" s="5" t="str">
        <f>IF(B5="","",Settings!$B$5)</f>
        <v/>
      </c>
      <c r="D5" s="4" t="str">
        <f t="shared" si="0"/>
        <v/>
      </c>
      <c r="E5" s="4"/>
    </row>
    <row r="6" spans="1:7" x14ac:dyDescent="0.25">
      <c r="A6" s="7"/>
      <c r="B6" s="4"/>
      <c r="C6" s="5" t="str">
        <f>IF(B6="","",Settings!$B$5)</f>
        <v/>
      </c>
      <c r="D6" s="4" t="str">
        <f t="shared" si="0"/>
        <v/>
      </c>
      <c r="E6" s="4"/>
    </row>
    <row r="7" spans="1:7" x14ac:dyDescent="0.25">
      <c r="A7" s="7"/>
      <c r="B7" s="4"/>
      <c r="C7" s="5" t="str">
        <f>IF(B7="","",Settings!$B$5)</f>
        <v/>
      </c>
      <c r="D7" s="4" t="str">
        <f t="shared" si="0"/>
        <v/>
      </c>
      <c r="E7" s="4"/>
    </row>
    <row r="8" spans="1:7" x14ac:dyDescent="0.25">
      <c r="A8" s="7"/>
      <c r="B8" s="4"/>
      <c r="C8" s="5" t="str">
        <f>IF(B8="","",Settings!$B$5)</f>
        <v/>
      </c>
      <c r="D8" s="4" t="str">
        <f t="shared" si="0"/>
        <v/>
      </c>
      <c r="E8" s="4"/>
    </row>
    <row r="9" spans="1:7" x14ac:dyDescent="0.25">
      <c r="A9" s="7"/>
      <c r="B9" s="4"/>
      <c r="C9" s="5" t="str">
        <f>IF(B9="","",Settings!$B$5)</f>
        <v/>
      </c>
      <c r="D9" s="4" t="str">
        <f t="shared" si="0"/>
        <v/>
      </c>
      <c r="E9" s="4"/>
    </row>
    <row r="10" spans="1:7" x14ac:dyDescent="0.25">
      <c r="A10" s="7"/>
      <c r="B10" s="4"/>
      <c r="C10" s="5" t="str">
        <f>IF(B10="","",Settings!$B$5)</f>
        <v/>
      </c>
      <c r="D10" s="4" t="str">
        <f t="shared" si="0"/>
        <v/>
      </c>
      <c r="E10" s="4"/>
    </row>
    <row r="11" spans="1:7" x14ac:dyDescent="0.25">
      <c r="A11" s="7"/>
      <c r="B11" s="4"/>
      <c r="C11" s="5" t="str">
        <f>IF(B11="","",Settings!$B$5)</f>
        <v/>
      </c>
      <c r="D11" s="4" t="str">
        <f t="shared" si="0"/>
        <v/>
      </c>
      <c r="E11" s="4"/>
    </row>
    <row r="12" spans="1:7" x14ac:dyDescent="0.25">
      <c r="A12" s="7"/>
      <c r="B12" s="4"/>
      <c r="C12" s="5" t="str">
        <f>IF(B12="","",Settings!$B$5)</f>
        <v/>
      </c>
      <c r="D12" s="4" t="str">
        <f t="shared" si="0"/>
        <v/>
      </c>
      <c r="E12" s="4"/>
    </row>
    <row r="13" spans="1:7" x14ac:dyDescent="0.25">
      <c r="A13" s="7"/>
      <c r="B13" s="4"/>
      <c r="C13" s="5" t="str">
        <f>IF(B13="","",Settings!$B$5)</f>
        <v/>
      </c>
      <c r="D13" s="4" t="str">
        <f t="shared" si="0"/>
        <v/>
      </c>
      <c r="E13" s="4"/>
    </row>
    <row r="14" spans="1:7" x14ac:dyDescent="0.25">
      <c r="A14" s="7"/>
      <c r="B14" s="4"/>
      <c r="C14" s="5" t="str">
        <f>IF(B14="","",Settings!$B$5)</f>
        <v/>
      </c>
      <c r="D14" s="4" t="str">
        <f t="shared" si="0"/>
        <v/>
      </c>
      <c r="E14" s="4"/>
    </row>
    <row r="15" spans="1:7" x14ac:dyDescent="0.25">
      <c r="A15" s="7"/>
      <c r="B15" s="4"/>
      <c r="C15" s="5" t="str">
        <f>IF(B15="","",Settings!$B$5)</f>
        <v/>
      </c>
      <c r="D15" s="4" t="str">
        <f t="shared" si="0"/>
        <v/>
      </c>
      <c r="E15" s="4"/>
    </row>
    <row r="16" spans="1:7" x14ac:dyDescent="0.25">
      <c r="A16" s="7"/>
      <c r="B16" s="4"/>
      <c r="C16" s="5" t="str">
        <f>IF(B16="","",Settings!$B$5)</f>
        <v/>
      </c>
      <c r="D16" s="4" t="str">
        <f t="shared" si="0"/>
        <v/>
      </c>
      <c r="E16" s="4"/>
    </row>
    <row r="17" spans="1:5" x14ac:dyDescent="0.25">
      <c r="A17" s="7"/>
      <c r="B17" s="4"/>
      <c r="C17" s="5" t="str">
        <f>IF(B17="","",Settings!$B$5)</f>
        <v/>
      </c>
      <c r="D17" s="4" t="str">
        <f t="shared" si="0"/>
        <v/>
      </c>
      <c r="E17" s="4"/>
    </row>
    <row r="18" spans="1:5" x14ac:dyDescent="0.25">
      <c r="A18" s="7"/>
      <c r="B18" s="4"/>
      <c r="C18" s="5" t="str">
        <f>IF(B18="","",Settings!$B$5)</f>
        <v/>
      </c>
      <c r="D18" s="4" t="str">
        <f t="shared" si="0"/>
        <v/>
      </c>
      <c r="E18" s="4"/>
    </row>
    <row r="19" spans="1:5" x14ac:dyDescent="0.25">
      <c r="A19" s="7"/>
      <c r="B19" s="4"/>
      <c r="C19" s="5" t="str">
        <f>IF(B19="","",Settings!$B$5)</f>
        <v/>
      </c>
      <c r="D19" s="4" t="str">
        <f t="shared" si="0"/>
        <v/>
      </c>
      <c r="E19" s="4"/>
    </row>
    <row r="20" spans="1:5" x14ac:dyDescent="0.25">
      <c r="A20" s="7"/>
      <c r="B20" s="4"/>
      <c r="C20" s="5" t="str">
        <f>IF(B20="","",Settings!$B$5)</f>
        <v/>
      </c>
      <c r="D20" s="4" t="str">
        <f t="shared" si="0"/>
        <v/>
      </c>
      <c r="E20" s="4"/>
    </row>
    <row r="21" spans="1:5" x14ac:dyDescent="0.25">
      <c r="A21" s="7"/>
      <c r="B21" s="4"/>
      <c r="C21" s="5" t="str">
        <f>IF(B21="","",Settings!$B$5)</f>
        <v/>
      </c>
      <c r="D21" s="4" t="str">
        <f t="shared" si="0"/>
        <v/>
      </c>
      <c r="E21" s="4"/>
    </row>
    <row r="22" spans="1:5" x14ac:dyDescent="0.25">
      <c r="A22" s="7"/>
      <c r="B22" s="4"/>
      <c r="C22" s="5" t="str">
        <f>IF(B22="","",Settings!$B$5)</f>
        <v/>
      </c>
      <c r="D22" s="4" t="str">
        <f t="shared" si="0"/>
        <v/>
      </c>
      <c r="E22" s="4"/>
    </row>
    <row r="23" spans="1:5" x14ac:dyDescent="0.25">
      <c r="A23" s="7"/>
      <c r="B23" s="4"/>
      <c r="C23" s="5" t="str">
        <f>IF(B23="","",Settings!$B$5)</f>
        <v/>
      </c>
      <c r="D23" s="4" t="str">
        <f t="shared" si="0"/>
        <v/>
      </c>
      <c r="E23" s="4"/>
    </row>
    <row r="24" spans="1:5" x14ac:dyDescent="0.25">
      <c r="A24" s="7"/>
      <c r="B24" s="4"/>
      <c r="C24" s="5" t="str">
        <f>IF(B24="","",Settings!$B$5)</f>
        <v/>
      </c>
      <c r="D24" s="4" t="str">
        <f t="shared" si="0"/>
        <v/>
      </c>
      <c r="E24" s="4"/>
    </row>
    <row r="25" spans="1:5" x14ac:dyDescent="0.25">
      <c r="A25" s="7"/>
      <c r="B25" s="4"/>
      <c r="C25" s="5" t="str">
        <f>IF(B25="","",Settings!$B$5)</f>
        <v/>
      </c>
      <c r="D25" s="4" t="str">
        <f t="shared" si="0"/>
        <v/>
      </c>
      <c r="E25" s="4"/>
    </row>
    <row r="26" spans="1:5" x14ac:dyDescent="0.25">
      <c r="A26" s="7"/>
      <c r="B26" s="4"/>
      <c r="C26" s="5" t="str">
        <f>IF(B26="","",Settings!$B$5)</f>
        <v/>
      </c>
      <c r="D26" s="4" t="str">
        <f t="shared" si="0"/>
        <v/>
      </c>
      <c r="E26" s="4"/>
    </row>
    <row r="27" spans="1:5" x14ac:dyDescent="0.25">
      <c r="A27" s="7"/>
      <c r="B27" s="4"/>
      <c r="C27" s="5" t="str">
        <f>IF(B27="","",Settings!$B$5)</f>
        <v/>
      </c>
      <c r="D27" s="4" t="str">
        <f t="shared" si="0"/>
        <v/>
      </c>
      <c r="E27" s="4"/>
    </row>
    <row r="28" spans="1:5" x14ac:dyDescent="0.25">
      <c r="A28" s="7"/>
      <c r="B28" s="4"/>
      <c r="C28" s="5" t="str">
        <f>IF(B28="","",Settings!$B$5)</f>
        <v/>
      </c>
      <c r="D28" s="4" t="str">
        <f t="shared" si="0"/>
        <v/>
      </c>
      <c r="E28" s="4"/>
    </row>
    <row r="29" spans="1:5" x14ac:dyDescent="0.25">
      <c r="A29" s="7"/>
      <c r="B29" s="4"/>
      <c r="C29" s="5" t="str">
        <f>IF(B29="","",Settings!$B$5)</f>
        <v/>
      </c>
      <c r="D29" s="4" t="str">
        <f t="shared" si="0"/>
        <v/>
      </c>
      <c r="E29" s="4"/>
    </row>
    <row r="30" spans="1:5" x14ac:dyDescent="0.25">
      <c r="A30" s="7"/>
      <c r="B30" s="4"/>
      <c r="C30" s="5" t="str">
        <f>IF(B30="","",Settings!$B$5)</f>
        <v/>
      </c>
      <c r="D30" s="4" t="str">
        <f t="shared" si="0"/>
        <v/>
      </c>
      <c r="E30" s="4"/>
    </row>
    <row r="31" spans="1:5" x14ac:dyDescent="0.25">
      <c r="A31" s="7"/>
      <c r="B31" s="4"/>
      <c r="C31" s="5" t="str">
        <f>IF(B31="","",Settings!$B$5)</f>
        <v/>
      </c>
      <c r="D31" s="4" t="str">
        <f t="shared" si="0"/>
        <v/>
      </c>
      <c r="E31" s="4"/>
    </row>
    <row r="32" spans="1:5" x14ac:dyDescent="0.25">
      <c r="A32" s="7"/>
      <c r="B32" s="4"/>
      <c r="C32" s="5" t="str">
        <f>IF(B32="","",Settings!$B$5)</f>
        <v/>
      </c>
      <c r="D32" s="4" t="str">
        <f t="shared" si="0"/>
        <v/>
      </c>
      <c r="E32" s="4"/>
    </row>
    <row r="33" spans="1:5" x14ac:dyDescent="0.25">
      <c r="A33" s="7"/>
      <c r="B33" s="4"/>
      <c r="C33" s="5" t="str">
        <f>IF(B33="","",Settings!$B$5)</f>
        <v/>
      </c>
      <c r="D33" s="4" t="str">
        <f t="shared" si="0"/>
        <v/>
      </c>
      <c r="E33" s="4"/>
    </row>
    <row r="34" spans="1:5" x14ac:dyDescent="0.25">
      <c r="A34" s="7"/>
      <c r="B34" s="4"/>
      <c r="C34" s="5" t="str">
        <f>IF(B34="","",Settings!$B$5)</f>
        <v/>
      </c>
      <c r="D34" s="4" t="str">
        <f t="shared" si="0"/>
        <v/>
      </c>
      <c r="E34" s="4"/>
    </row>
    <row r="35" spans="1:5" x14ac:dyDescent="0.25">
      <c r="A35" s="7"/>
      <c r="B35" s="4"/>
      <c r="C35" s="5" t="str">
        <f>IF(B35="","",Settings!$B$5)</f>
        <v/>
      </c>
      <c r="D35" s="4" t="str">
        <f t="shared" si="0"/>
        <v/>
      </c>
      <c r="E35" s="4"/>
    </row>
    <row r="36" spans="1:5" x14ac:dyDescent="0.25">
      <c r="A36" s="7"/>
      <c r="B36" s="4"/>
      <c r="C36" s="5" t="str">
        <f>IF(B36="","",Settings!$B$5)</f>
        <v/>
      </c>
      <c r="D36" s="4" t="str">
        <f t="shared" ref="D36:D67" si="1">IF(B36="","",MAX(0,B36*C36))</f>
        <v/>
      </c>
      <c r="E36" s="4"/>
    </row>
    <row r="37" spans="1:5" x14ac:dyDescent="0.25">
      <c r="A37" s="7"/>
      <c r="B37" s="4"/>
      <c r="C37" s="5" t="str">
        <f>IF(B37="","",Settings!$B$5)</f>
        <v/>
      </c>
      <c r="D37" s="4" t="str">
        <f t="shared" si="1"/>
        <v/>
      </c>
      <c r="E37" s="4"/>
    </row>
    <row r="38" spans="1:5" x14ac:dyDescent="0.25">
      <c r="A38" s="7"/>
      <c r="B38" s="4"/>
      <c r="C38" s="5" t="str">
        <f>IF(B38="","",Settings!$B$5)</f>
        <v/>
      </c>
      <c r="D38" s="4" t="str">
        <f t="shared" si="1"/>
        <v/>
      </c>
      <c r="E38" s="4"/>
    </row>
    <row r="39" spans="1:5" x14ac:dyDescent="0.25">
      <c r="A39" s="7"/>
      <c r="B39" s="4"/>
      <c r="C39" s="5" t="str">
        <f>IF(B39="","",Settings!$B$5)</f>
        <v/>
      </c>
      <c r="D39" s="4" t="str">
        <f t="shared" si="1"/>
        <v/>
      </c>
      <c r="E39" s="4"/>
    </row>
    <row r="40" spans="1:5" x14ac:dyDescent="0.25">
      <c r="A40" s="7"/>
      <c r="B40" s="4"/>
      <c r="C40" s="5" t="str">
        <f>IF(B40="","",Settings!$B$5)</f>
        <v/>
      </c>
      <c r="D40" s="4" t="str">
        <f t="shared" si="1"/>
        <v/>
      </c>
      <c r="E40" s="4"/>
    </row>
    <row r="41" spans="1:5" x14ac:dyDescent="0.25">
      <c r="A41" s="7"/>
      <c r="B41" s="4"/>
      <c r="C41" s="5" t="str">
        <f>IF(B41="","",Settings!$B$5)</f>
        <v/>
      </c>
      <c r="D41" s="4" t="str">
        <f t="shared" si="1"/>
        <v/>
      </c>
      <c r="E41" s="4"/>
    </row>
    <row r="42" spans="1:5" x14ac:dyDescent="0.25">
      <c r="A42" s="7"/>
      <c r="B42" s="4"/>
      <c r="C42" s="5" t="str">
        <f>IF(B42="","",Settings!$B$5)</f>
        <v/>
      </c>
      <c r="D42" s="4" t="str">
        <f t="shared" si="1"/>
        <v/>
      </c>
      <c r="E42" s="4"/>
    </row>
    <row r="43" spans="1:5" x14ac:dyDescent="0.25">
      <c r="A43" s="7"/>
      <c r="B43" s="4"/>
      <c r="C43" s="5" t="str">
        <f>IF(B43="","",Settings!$B$5)</f>
        <v/>
      </c>
      <c r="D43" s="4" t="str">
        <f t="shared" si="1"/>
        <v/>
      </c>
      <c r="E43" s="4"/>
    </row>
    <row r="44" spans="1:5" x14ac:dyDescent="0.25">
      <c r="A44" s="7"/>
      <c r="B44" s="4"/>
      <c r="C44" s="5" t="str">
        <f>IF(B44="","",Settings!$B$5)</f>
        <v/>
      </c>
      <c r="D44" s="4" t="str">
        <f t="shared" si="1"/>
        <v/>
      </c>
      <c r="E44" s="4"/>
    </row>
    <row r="45" spans="1:5" x14ac:dyDescent="0.25">
      <c r="A45" s="7"/>
      <c r="B45" s="4"/>
      <c r="C45" s="5" t="str">
        <f>IF(B45="","",Settings!$B$5)</f>
        <v/>
      </c>
      <c r="D45" s="4" t="str">
        <f t="shared" si="1"/>
        <v/>
      </c>
      <c r="E45" s="4"/>
    </row>
    <row r="46" spans="1:5" x14ac:dyDescent="0.25">
      <c r="A46" s="7"/>
      <c r="B46" s="4"/>
      <c r="C46" s="5" t="str">
        <f>IF(B46="","",Settings!$B$5)</f>
        <v/>
      </c>
      <c r="D46" s="4" t="str">
        <f t="shared" si="1"/>
        <v/>
      </c>
      <c r="E46" s="4"/>
    </row>
    <row r="47" spans="1:5" x14ac:dyDescent="0.25">
      <c r="A47" s="7"/>
      <c r="B47" s="4"/>
      <c r="C47" s="5" t="str">
        <f>IF(B47="","",Settings!$B$5)</f>
        <v/>
      </c>
      <c r="D47" s="4" t="str">
        <f t="shared" si="1"/>
        <v/>
      </c>
      <c r="E47" s="4"/>
    </row>
    <row r="48" spans="1:5" x14ac:dyDescent="0.25">
      <c r="A48" s="7"/>
      <c r="B48" s="4"/>
      <c r="C48" s="5" t="str">
        <f>IF(B48="","",Settings!$B$5)</f>
        <v/>
      </c>
      <c r="D48" s="4" t="str">
        <f t="shared" si="1"/>
        <v/>
      </c>
      <c r="E48" s="4"/>
    </row>
    <row r="49" spans="1:5" x14ac:dyDescent="0.25">
      <c r="A49" s="7"/>
      <c r="B49" s="4"/>
      <c r="C49" s="5" t="str">
        <f>IF(B49="","",Settings!$B$5)</f>
        <v/>
      </c>
      <c r="D49" s="4" t="str">
        <f t="shared" si="1"/>
        <v/>
      </c>
      <c r="E49" s="4"/>
    </row>
    <row r="50" spans="1:5" x14ac:dyDescent="0.25">
      <c r="A50" s="7"/>
      <c r="B50" s="4"/>
      <c r="C50" s="5" t="str">
        <f>IF(B50="","",Settings!$B$5)</f>
        <v/>
      </c>
      <c r="D50" s="4" t="str">
        <f t="shared" si="1"/>
        <v/>
      </c>
      <c r="E50" s="4"/>
    </row>
    <row r="51" spans="1:5" x14ac:dyDescent="0.25">
      <c r="A51" s="7"/>
      <c r="B51" s="4"/>
      <c r="C51" s="5" t="str">
        <f>IF(B51="","",Settings!$B$5)</f>
        <v/>
      </c>
      <c r="D51" s="4" t="str">
        <f t="shared" si="1"/>
        <v/>
      </c>
      <c r="E51" s="4"/>
    </row>
    <row r="52" spans="1:5" x14ac:dyDescent="0.25">
      <c r="A52" s="7"/>
      <c r="B52" s="4"/>
      <c r="C52" s="5" t="str">
        <f>IF(B52="","",Settings!$B$5)</f>
        <v/>
      </c>
      <c r="D52" s="4" t="str">
        <f t="shared" si="1"/>
        <v/>
      </c>
      <c r="E52" s="4"/>
    </row>
    <row r="53" spans="1:5" x14ac:dyDescent="0.25">
      <c r="A53" s="7"/>
      <c r="B53" s="4"/>
      <c r="C53" s="5" t="str">
        <f>IF(B53="","",Settings!$B$5)</f>
        <v/>
      </c>
      <c r="D53" s="4" t="str">
        <f t="shared" si="1"/>
        <v/>
      </c>
      <c r="E53" s="4"/>
    </row>
    <row r="54" spans="1:5" x14ac:dyDescent="0.25">
      <c r="A54" s="7"/>
      <c r="B54" s="4"/>
      <c r="C54" s="5" t="str">
        <f>IF(B54="","",Settings!$B$5)</f>
        <v/>
      </c>
      <c r="D54" s="4" t="str">
        <f t="shared" si="1"/>
        <v/>
      </c>
      <c r="E54" s="4"/>
    </row>
    <row r="55" spans="1:5" x14ac:dyDescent="0.25">
      <c r="A55" s="7"/>
      <c r="B55" s="4"/>
      <c r="C55" s="5" t="str">
        <f>IF(B55="","",Settings!$B$5)</f>
        <v/>
      </c>
      <c r="D55" s="4" t="str">
        <f t="shared" si="1"/>
        <v/>
      </c>
      <c r="E55" s="4"/>
    </row>
    <row r="56" spans="1:5" x14ac:dyDescent="0.25">
      <c r="A56" s="7"/>
      <c r="B56" s="4"/>
      <c r="C56" s="5" t="str">
        <f>IF(B56="","",Settings!$B$5)</f>
        <v/>
      </c>
      <c r="D56" s="4" t="str">
        <f t="shared" si="1"/>
        <v/>
      </c>
      <c r="E56" s="4"/>
    </row>
    <row r="57" spans="1:5" x14ac:dyDescent="0.25">
      <c r="A57" s="7"/>
      <c r="B57" s="4"/>
      <c r="C57" s="5" t="str">
        <f>IF(B57="","",Settings!$B$5)</f>
        <v/>
      </c>
      <c r="D57" s="4" t="str">
        <f t="shared" si="1"/>
        <v/>
      </c>
      <c r="E57" s="4"/>
    </row>
    <row r="58" spans="1:5" x14ac:dyDescent="0.25">
      <c r="A58" s="7"/>
      <c r="B58" s="4"/>
      <c r="C58" s="5" t="str">
        <f>IF(B58="","",Settings!$B$5)</f>
        <v/>
      </c>
      <c r="D58" s="4" t="str">
        <f t="shared" si="1"/>
        <v/>
      </c>
      <c r="E58" s="4"/>
    </row>
    <row r="59" spans="1:5" x14ac:dyDescent="0.25">
      <c r="A59" s="7"/>
      <c r="B59" s="4"/>
      <c r="C59" s="5" t="str">
        <f>IF(B59="","",Settings!$B$5)</f>
        <v/>
      </c>
      <c r="D59" s="4" t="str">
        <f t="shared" si="1"/>
        <v/>
      </c>
      <c r="E59" s="4"/>
    </row>
    <row r="60" spans="1:5" x14ac:dyDescent="0.25">
      <c r="A60" s="7"/>
      <c r="B60" s="4"/>
      <c r="C60" s="5" t="str">
        <f>IF(B60="","",Settings!$B$5)</f>
        <v/>
      </c>
      <c r="D60" s="4" t="str">
        <f t="shared" si="1"/>
        <v/>
      </c>
      <c r="E60" s="4"/>
    </row>
    <row r="61" spans="1:5" x14ac:dyDescent="0.25">
      <c r="A61" s="7"/>
      <c r="B61" s="4"/>
      <c r="C61" s="5" t="str">
        <f>IF(B61="","",Settings!$B$5)</f>
        <v/>
      </c>
      <c r="D61" s="4" t="str">
        <f t="shared" si="1"/>
        <v/>
      </c>
      <c r="E61" s="4"/>
    </row>
    <row r="62" spans="1:5" x14ac:dyDescent="0.25">
      <c r="A62" s="7"/>
      <c r="B62" s="4"/>
      <c r="C62" s="5" t="str">
        <f>IF(B62="","",Settings!$B$5)</f>
        <v/>
      </c>
      <c r="D62" s="4" t="str">
        <f t="shared" si="1"/>
        <v/>
      </c>
      <c r="E62" s="4"/>
    </row>
    <row r="63" spans="1:5" x14ac:dyDescent="0.25">
      <c r="A63" s="7"/>
      <c r="B63" s="4"/>
      <c r="C63" s="5" t="str">
        <f>IF(B63="","",Settings!$B$5)</f>
        <v/>
      </c>
      <c r="D63" s="4" t="str">
        <f t="shared" si="1"/>
        <v/>
      </c>
      <c r="E63" s="4"/>
    </row>
    <row r="64" spans="1:5" x14ac:dyDescent="0.25">
      <c r="A64" s="7"/>
      <c r="B64" s="4"/>
      <c r="C64" s="5" t="str">
        <f>IF(B64="","",Settings!$B$5)</f>
        <v/>
      </c>
      <c r="D64" s="4" t="str">
        <f t="shared" si="1"/>
        <v/>
      </c>
      <c r="E64" s="4"/>
    </row>
    <row r="65" spans="1:5" x14ac:dyDescent="0.25">
      <c r="A65" s="7"/>
      <c r="B65" s="4"/>
      <c r="C65" s="5" t="str">
        <f>IF(B65="","",Settings!$B$5)</f>
        <v/>
      </c>
      <c r="D65" s="4" t="str">
        <f t="shared" si="1"/>
        <v/>
      </c>
      <c r="E65" s="4"/>
    </row>
    <row r="66" spans="1:5" x14ac:dyDescent="0.25">
      <c r="A66" s="7"/>
      <c r="B66" s="4"/>
      <c r="C66" s="5" t="str">
        <f>IF(B66="","",Settings!$B$5)</f>
        <v/>
      </c>
      <c r="D66" s="4" t="str">
        <f t="shared" si="1"/>
        <v/>
      </c>
      <c r="E66" s="4"/>
    </row>
    <row r="67" spans="1:5" x14ac:dyDescent="0.25">
      <c r="A67" s="7"/>
      <c r="B67" s="4"/>
      <c r="C67" s="5" t="str">
        <f>IF(B67="","",Settings!$B$5)</f>
        <v/>
      </c>
      <c r="D67" s="4" t="str">
        <f t="shared" si="1"/>
        <v/>
      </c>
      <c r="E67" s="4"/>
    </row>
    <row r="68" spans="1:5" x14ac:dyDescent="0.25">
      <c r="A68" s="7"/>
      <c r="B68" s="4"/>
      <c r="C68" s="5" t="str">
        <f>IF(B68="","",Settings!$B$5)</f>
        <v/>
      </c>
      <c r="D68" s="4" t="str">
        <f t="shared" ref="D68:D99" si="2">IF(B68="","",MAX(0,B68*C68))</f>
        <v/>
      </c>
      <c r="E68" s="4"/>
    </row>
    <row r="69" spans="1:5" x14ac:dyDescent="0.25">
      <c r="A69" s="7"/>
      <c r="B69" s="4"/>
      <c r="C69" s="5" t="str">
        <f>IF(B69="","",Settings!$B$5)</f>
        <v/>
      </c>
      <c r="D69" s="4" t="str">
        <f t="shared" si="2"/>
        <v/>
      </c>
      <c r="E69" s="4"/>
    </row>
    <row r="70" spans="1:5" x14ac:dyDescent="0.25">
      <c r="A70" s="7"/>
      <c r="B70" s="4"/>
      <c r="C70" s="5" t="str">
        <f>IF(B70="","",Settings!$B$5)</f>
        <v/>
      </c>
      <c r="D70" s="4" t="str">
        <f t="shared" si="2"/>
        <v/>
      </c>
      <c r="E70" s="4"/>
    </row>
    <row r="71" spans="1:5" x14ac:dyDescent="0.25">
      <c r="A71" s="7"/>
      <c r="B71" s="4"/>
      <c r="C71" s="5" t="str">
        <f>IF(B71="","",Settings!$B$5)</f>
        <v/>
      </c>
      <c r="D71" s="4" t="str">
        <f t="shared" si="2"/>
        <v/>
      </c>
      <c r="E71" s="4"/>
    </row>
    <row r="72" spans="1:5" x14ac:dyDescent="0.25">
      <c r="A72" s="7"/>
      <c r="B72" s="4"/>
      <c r="C72" s="5" t="str">
        <f>IF(B72="","",Settings!$B$5)</f>
        <v/>
      </c>
      <c r="D72" s="4" t="str">
        <f t="shared" si="2"/>
        <v/>
      </c>
      <c r="E72" s="4"/>
    </row>
    <row r="73" spans="1:5" x14ac:dyDescent="0.25">
      <c r="A73" s="7"/>
      <c r="B73" s="4"/>
      <c r="C73" s="5" t="str">
        <f>IF(B73="","",Settings!$B$5)</f>
        <v/>
      </c>
      <c r="D73" s="4" t="str">
        <f t="shared" si="2"/>
        <v/>
      </c>
      <c r="E73" s="4"/>
    </row>
    <row r="74" spans="1:5" x14ac:dyDescent="0.25">
      <c r="A74" s="7"/>
      <c r="B74" s="4"/>
      <c r="C74" s="5" t="str">
        <f>IF(B74="","",Settings!$B$5)</f>
        <v/>
      </c>
      <c r="D74" s="4" t="str">
        <f t="shared" si="2"/>
        <v/>
      </c>
      <c r="E74" s="4"/>
    </row>
    <row r="75" spans="1:5" x14ac:dyDescent="0.25">
      <c r="A75" s="7"/>
      <c r="B75" s="4"/>
      <c r="C75" s="5" t="str">
        <f>IF(B75="","",Settings!$B$5)</f>
        <v/>
      </c>
      <c r="D75" s="4" t="str">
        <f t="shared" si="2"/>
        <v/>
      </c>
      <c r="E75" s="4"/>
    </row>
    <row r="76" spans="1:5" x14ac:dyDescent="0.25">
      <c r="A76" s="7"/>
      <c r="B76" s="4"/>
      <c r="C76" s="5" t="str">
        <f>IF(B76="","",Settings!$B$5)</f>
        <v/>
      </c>
      <c r="D76" s="4" t="str">
        <f t="shared" si="2"/>
        <v/>
      </c>
      <c r="E76" s="4"/>
    </row>
    <row r="77" spans="1:5" x14ac:dyDescent="0.25">
      <c r="A77" s="7"/>
      <c r="B77" s="4"/>
      <c r="C77" s="5" t="str">
        <f>IF(B77="","",Settings!$B$5)</f>
        <v/>
      </c>
      <c r="D77" s="4" t="str">
        <f t="shared" si="2"/>
        <v/>
      </c>
      <c r="E77" s="4"/>
    </row>
    <row r="78" spans="1:5" x14ac:dyDescent="0.25">
      <c r="A78" s="7"/>
      <c r="B78" s="4"/>
      <c r="C78" s="5" t="str">
        <f>IF(B78="","",Settings!$B$5)</f>
        <v/>
      </c>
      <c r="D78" s="4" t="str">
        <f t="shared" si="2"/>
        <v/>
      </c>
      <c r="E78" s="4"/>
    </row>
    <row r="79" spans="1:5" x14ac:dyDescent="0.25">
      <c r="A79" s="7"/>
      <c r="B79" s="4"/>
      <c r="C79" s="5" t="str">
        <f>IF(B79="","",Settings!$B$5)</f>
        <v/>
      </c>
      <c r="D79" s="4" t="str">
        <f t="shared" si="2"/>
        <v/>
      </c>
      <c r="E79" s="4"/>
    </row>
    <row r="80" spans="1:5" x14ac:dyDescent="0.25">
      <c r="A80" s="7"/>
      <c r="B80" s="4"/>
      <c r="C80" s="5" t="str">
        <f>IF(B80="","",Settings!$B$5)</f>
        <v/>
      </c>
      <c r="D80" s="4" t="str">
        <f t="shared" si="2"/>
        <v/>
      </c>
      <c r="E80" s="4"/>
    </row>
    <row r="81" spans="1:5" x14ac:dyDescent="0.25">
      <c r="A81" s="7"/>
      <c r="B81" s="4"/>
      <c r="C81" s="5" t="str">
        <f>IF(B81="","",Settings!$B$5)</f>
        <v/>
      </c>
      <c r="D81" s="4" t="str">
        <f t="shared" si="2"/>
        <v/>
      </c>
      <c r="E81" s="4"/>
    </row>
    <row r="82" spans="1:5" x14ac:dyDescent="0.25">
      <c r="A82" s="7"/>
      <c r="B82" s="4"/>
      <c r="C82" s="5" t="str">
        <f>IF(B82="","",Settings!$B$5)</f>
        <v/>
      </c>
      <c r="D82" s="4" t="str">
        <f t="shared" si="2"/>
        <v/>
      </c>
      <c r="E82" s="4"/>
    </row>
    <row r="83" spans="1:5" x14ac:dyDescent="0.25">
      <c r="A83" s="7"/>
      <c r="B83" s="4"/>
      <c r="C83" s="5" t="str">
        <f>IF(B83="","",Settings!$B$5)</f>
        <v/>
      </c>
      <c r="D83" s="4" t="str">
        <f t="shared" si="2"/>
        <v/>
      </c>
      <c r="E83" s="4"/>
    </row>
    <row r="84" spans="1:5" x14ac:dyDescent="0.25">
      <c r="A84" s="7"/>
      <c r="B84" s="4"/>
      <c r="C84" s="5" t="str">
        <f>IF(B84="","",Settings!$B$5)</f>
        <v/>
      </c>
      <c r="D84" s="4" t="str">
        <f t="shared" si="2"/>
        <v/>
      </c>
      <c r="E84" s="4"/>
    </row>
    <row r="85" spans="1:5" x14ac:dyDescent="0.25">
      <c r="A85" s="7"/>
      <c r="B85" s="4"/>
      <c r="C85" s="5" t="str">
        <f>IF(B85="","",Settings!$B$5)</f>
        <v/>
      </c>
      <c r="D85" s="4" t="str">
        <f t="shared" si="2"/>
        <v/>
      </c>
      <c r="E85" s="4"/>
    </row>
    <row r="86" spans="1:5" x14ac:dyDescent="0.25">
      <c r="A86" s="7"/>
      <c r="B86" s="4"/>
      <c r="C86" s="5" t="str">
        <f>IF(B86="","",Settings!$B$5)</f>
        <v/>
      </c>
      <c r="D86" s="4" t="str">
        <f t="shared" si="2"/>
        <v/>
      </c>
      <c r="E86" s="4"/>
    </row>
    <row r="87" spans="1:5" x14ac:dyDescent="0.25">
      <c r="A87" s="7"/>
      <c r="B87" s="4"/>
      <c r="C87" s="5" t="str">
        <f>IF(B87="","",Settings!$B$5)</f>
        <v/>
      </c>
      <c r="D87" s="4" t="str">
        <f t="shared" si="2"/>
        <v/>
      </c>
      <c r="E87" s="4"/>
    </row>
    <row r="88" spans="1:5" x14ac:dyDescent="0.25">
      <c r="A88" s="7"/>
      <c r="B88" s="4"/>
      <c r="C88" s="5" t="str">
        <f>IF(B88="","",Settings!$B$5)</f>
        <v/>
      </c>
      <c r="D88" s="4" t="str">
        <f t="shared" si="2"/>
        <v/>
      </c>
      <c r="E88" s="4"/>
    </row>
    <row r="89" spans="1:5" x14ac:dyDescent="0.25">
      <c r="A89" s="7"/>
      <c r="B89" s="4"/>
      <c r="C89" s="5" t="str">
        <f>IF(B89="","",Settings!$B$5)</f>
        <v/>
      </c>
      <c r="D89" s="4" t="str">
        <f t="shared" si="2"/>
        <v/>
      </c>
      <c r="E89" s="4"/>
    </row>
    <row r="90" spans="1:5" x14ac:dyDescent="0.25">
      <c r="A90" s="7"/>
      <c r="B90" s="4"/>
      <c r="C90" s="5" t="str">
        <f>IF(B90="","",Settings!$B$5)</f>
        <v/>
      </c>
      <c r="D90" s="4" t="str">
        <f t="shared" si="2"/>
        <v/>
      </c>
      <c r="E90" s="4"/>
    </row>
    <row r="91" spans="1:5" x14ac:dyDescent="0.25">
      <c r="A91" s="7"/>
      <c r="B91" s="4"/>
      <c r="C91" s="5" t="str">
        <f>IF(B91="","",Settings!$B$5)</f>
        <v/>
      </c>
      <c r="D91" s="4" t="str">
        <f t="shared" si="2"/>
        <v/>
      </c>
      <c r="E91" s="4"/>
    </row>
    <row r="92" spans="1:5" x14ac:dyDescent="0.25">
      <c r="A92" s="7"/>
      <c r="B92" s="4"/>
      <c r="C92" s="5" t="str">
        <f>IF(B92="","",Settings!$B$5)</f>
        <v/>
      </c>
      <c r="D92" s="4" t="str">
        <f t="shared" si="2"/>
        <v/>
      </c>
      <c r="E92" s="4"/>
    </row>
    <row r="93" spans="1:5" x14ac:dyDescent="0.25">
      <c r="A93" s="7"/>
      <c r="B93" s="4"/>
      <c r="C93" s="5" t="str">
        <f>IF(B93="","",Settings!$B$5)</f>
        <v/>
      </c>
      <c r="D93" s="4" t="str">
        <f t="shared" si="2"/>
        <v/>
      </c>
      <c r="E93" s="4"/>
    </row>
    <row r="94" spans="1:5" x14ac:dyDescent="0.25">
      <c r="A94" s="7"/>
      <c r="B94" s="4"/>
      <c r="C94" s="5" t="str">
        <f>IF(B94="","",Settings!$B$5)</f>
        <v/>
      </c>
      <c r="D94" s="4" t="str">
        <f t="shared" si="2"/>
        <v/>
      </c>
      <c r="E94" s="4"/>
    </row>
    <row r="95" spans="1:5" x14ac:dyDescent="0.25">
      <c r="A95" s="7"/>
      <c r="B95" s="4"/>
      <c r="C95" s="5" t="str">
        <f>IF(B95="","",Settings!$B$5)</f>
        <v/>
      </c>
      <c r="D95" s="4" t="str">
        <f t="shared" si="2"/>
        <v/>
      </c>
      <c r="E95" s="4"/>
    </row>
    <row r="96" spans="1:5" x14ac:dyDescent="0.25">
      <c r="A96" s="7"/>
      <c r="B96" s="4"/>
      <c r="C96" s="5" t="str">
        <f>IF(B96="","",Settings!$B$5)</f>
        <v/>
      </c>
      <c r="D96" s="4" t="str">
        <f t="shared" si="2"/>
        <v/>
      </c>
      <c r="E96" s="4"/>
    </row>
    <row r="97" spans="1:5" x14ac:dyDescent="0.25">
      <c r="A97" s="7"/>
      <c r="B97" s="4"/>
      <c r="C97" s="5" t="str">
        <f>IF(B97="","",Settings!$B$5)</f>
        <v/>
      </c>
      <c r="D97" s="4" t="str">
        <f t="shared" si="2"/>
        <v/>
      </c>
      <c r="E97" s="4"/>
    </row>
    <row r="98" spans="1:5" x14ac:dyDescent="0.25">
      <c r="A98" s="7"/>
      <c r="B98" s="4"/>
      <c r="C98" s="5" t="str">
        <f>IF(B98="","",Settings!$B$5)</f>
        <v/>
      </c>
      <c r="D98" s="4" t="str">
        <f t="shared" si="2"/>
        <v/>
      </c>
      <c r="E98" s="4"/>
    </row>
    <row r="99" spans="1:5" x14ac:dyDescent="0.25">
      <c r="A99" s="7"/>
      <c r="B99" s="4"/>
      <c r="C99" s="5" t="str">
        <f>IF(B99="","",Settings!$B$5)</f>
        <v/>
      </c>
      <c r="D99" s="4" t="str">
        <f t="shared" si="2"/>
        <v/>
      </c>
      <c r="E99" s="4"/>
    </row>
    <row r="100" spans="1:5" x14ac:dyDescent="0.25">
      <c r="A100" s="7"/>
      <c r="B100" s="4"/>
      <c r="C100" s="5" t="str">
        <f>IF(B100="","",Settings!$B$5)</f>
        <v/>
      </c>
      <c r="D100" s="4" t="str">
        <f t="shared" ref="D100:D103" si="3">IF(B100="","",MAX(0,B100*C100))</f>
        <v/>
      </c>
      <c r="E100" s="4"/>
    </row>
    <row r="101" spans="1:5" x14ac:dyDescent="0.25">
      <c r="A101" s="7"/>
      <c r="B101" s="4"/>
      <c r="C101" s="5" t="str">
        <f>IF(B101="","",Settings!$B$5)</f>
        <v/>
      </c>
      <c r="D101" s="4" t="str">
        <f t="shared" si="3"/>
        <v/>
      </c>
      <c r="E101" s="4"/>
    </row>
    <row r="102" spans="1:5" x14ac:dyDescent="0.25">
      <c r="A102" s="7"/>
      <c r="B102" s="4"/>
      <c r="C102" s="5" t="str">
        <f>IF(B102="","",Settings!$B$5)</f>
        <v/>
      </c>
      <c r="D102" s="4" t="str">
        <f t="shared" si="3"/>
        <v/>
      </c>
      <c r="E102" s="4"/>
    </row>
    <row r="103" spans="1:5" x14ac:dyDescent="0.25">
      <c r="A103" s="7"/>
      <c r="B103" s="4"/>
      <c r="C103" s="5" t="str">
        <f>IF(B103="","",Settings!$B$5)</f>
        <v/>
      </c>
      <c r="D103" s="4" t="str">
        <f t="shared" si="3"/>
        <v/>
      </c>
      <c r="E103" s="4"/>
    </row>
  </sheetData>
  <mergeCells count="1">
    <mergeCell ref="A1:G1"/>
  </mergeCells>
  <pageMargins left="0.25" right="0.2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rightToLeft="1" workbookViewId="0">
      <pane ySplit="3" topLeftCell="A4" activePane="bottomLeft" state="frozen"/>
      <selection pane="bottomLeft" activeCell="B4" sqref="B4"/>
    </sheetView>
  </sheetViews>
  <sheetFormatPr defaultRowHeight="15" x14ac:dyDescent="0.25"/>
  <cols>
    <col min="1" max="1" width="16" customWidth="1"/>
    <col min="2" max="2" width="19" customWidth="1"/>
    <col min="3" max="3" width="18" customWidth="1"/>
    <col min="4" max="4" width="20" customWidth="1"/>
    <col min="5" max="8" width="18" customWidth="1"/>
    <col min="9" max="9" width="16" customWidth="1"/>
  </cols>
  <sheetData>
    <row r="1" spans="1:9" ht="30" customHeight="1" x14ac:dyDescent="0.35">
      <c r="A1" s="21" t="s">
        <v>55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1" t="s">
        <v>56</v>
      </c>
      <c r="B2" s="11">
        <v>2026</v>
      </c>
    </row>
    <row r="3" spans="1:9" x14ac:dyDescent="0.25">
      <c r="A3" s="3" t="s">
        <v>57</v>
      </c>
      <c r="B3" s="3" t="s">
        <v>58</v>
      </c>
      <c r="C3" s="3" t="s">
        <v>59</v>
      </c>
      <c r="D3" s="3" t="s">
        <v>4</v>
      </c>
      <c r="E3" s="3" t="s">
        <v>60</v>
      </c>
      <c r="F3" s="3" t="s">
        <v>61</v>
      </c>
      <c r="G3" s="3" t="s">
        <v>5</v>
      </c>
      <c r="H3" s="3" t="s">
        <v>62</v>
      </c>
      <c r="I3" s="3" t="s">
        <v>63</v>
      </c>
    </row>
    <row r="4" spans="1:9" x14ac:dyDescent="0.25">
      <c r="A4" t="s">
        <v>64</v>
      </c>
      <c r="B4" s="4">
        <f>SUMIFS(Revenues!$G:$G,Revenues!$E:$E,"&gt;="&amp;DATE($B$2,1,1),Revenues!$E:$E,"&lt;"&amp;EDATE(DATE($B$2,1,1),1))</f>
        <v>0</v>
      </c>
      <c r="C4" s="4">
        <f>SUMIFS(Expenses!$E:$E,Expenses!$B:$B,"&gt;="&amp;DATE($B$2,1,1),Expenses!$B:$B,"&lt;"&amp;EDATE(DATE($B$2,1,1),1))</f>
        <v>0</v>
      </c>
      <c r="D4" s="4">
        <f t="shared" ref="D4:D15" si="0">B4-C4</f>
        <v>0</v>
      </c>
      <c r="E4" s="4">
        <f>MAX(0,D4*Settings!$B$5)</f>
        <v>0</v>
      </c>
      <c r="F4" s="4">
        <f>MAX(0,D4*Settings!$B$6)</f>
        <v>0</v>
      </c>
      <c r="G4" s="4">
        <f t="shared" ref="G4:G15" si="1">D4-E4-F4</f>
        <v>0</v>
      </c>
      <c r="H4" s="4">
        <f>Settings!$B$4+SUMIFS(Capital!$D:$D,Capital!$A:$A,"&lt;="&amp;EOMONTH(DATE($B$2,1,1),0),Capital!$B:$B,"&lt;&gt;سحب من رأس المال")-SUMIFS(Capital!$D:$D,Capital!$A:$A,"&lt;="&amp;EOMONTH(DATE($B$2,1,1),0),Capital!$B:$B,"سحب من رأس المال")</f>
        <v>5000</v>
      </c>
      <c r="I4" s="5">
        <f t="shared" ref="I4:I15" si="2">IFERROR(D4/B4,0)</f>
        <v>0</v>
      </c>
    </row>
    <row r="5" spans="1:9" x14ac:dyDescent="0.25">
      <c r="A5" t="s">
        <v>65</v>
      </c>
      <c r="B5" s="4">
        <f>SUMIFS(Revenues!$G:$G,Revenues!$E:$E,"&gt;="&amp;DATE($B$2,2,1),Revenues!$E:$E,"&lt;"&amp;EDATE(DATE($B$2,2,1),1))</f>
        <v>0</v>
      </c>
      <c r="C5" s="4">
        <f>SUMIFS(Expenses!$E:$E,Expenses!$B:$B,"&gt;="&amp;DATE($B$2,2,1),Expenses!$B:$B,"&lt;"&amp;EDATE(DATE($B$2,2,1),1))</f>
        <v>0</v>
      </c>
      <c r="D5" s="4">
        <f t="shared" si="0"/>
        <v>0</v>
      </c>
      <c r="E5" s="4">
        <f>MAX(0,D5*Settings!$B$5)</f>
        <v>0</v>
      </c>
      <c r="F5" s="4">
        <f>MAX(0,D5*Settings!$B$6)</f>
        <v>0</v>
      </c>
      <c r="G5" s="4">
        <f t="shared" si="1"/>
        <v>0</v>
      </c>
      <c r="H5" s="4">
        <f>Settings!$B$4+SUMIFS(Capital!$D:$D,Capital!$A:$A,"&lt;="&amp;EOMONTH(DATE($B$2,2,1),0),Capital!$B:$B,"&lt;&gt;سحب من رأس المال")-SUMIFS(Capital!$D:$D,Capital!$A:$A,"&lt;="&amp;EOMONTH(DATE($B$2,2,1),0),Capital!$B:$B,"سحب من رأس المال")</f>
        <v>5000</v>
      </c>
      <c r="I5" s="5">
        <f t="shared" si="2"/>
        <v>0</v>
      </c>
    </row>
    <row r="6" spans="1:9" x14ac:dyDescent="0.25">
      <c r="A6" t="s">
        <v>66</v>
      </c>
      <c r="B6" s="4">
        <f>SUMIFS(Revenues!$G:$G,Revenues!$E:$E,"&gt;="&amp;DATE($B$2,3,1),Revenues!$E:$E,"&lt;"&amp;EDATE(DATE($B$2,3,1),1))</f>
        <v>0</v>
      </c>
      <c r="C6" s="4">
        <f>SUMIFS(Expenses!$E:$E,Expenses!$B:$B,"&gt;="&amp;DATE($B$2,3,1),Expenses!$B:$B,"&lt;"&amp;EDATE(DATE($B$2,3,1),1))</f>
        <v>0</v>
      </c>
      <c r="D6" s="4">
        <f t="shared" si="0"/>
        <v>0</v>
      </c>
      <c r="E6" s="4">
        <f>MAX(0,D6*Settings!$B$5)</f>
        <v>0</v>
      </c>
      <c r="F6" s="4">
        <f>MAX(0,D6*Settings!$B$6)</f>
        <v>0</v>
      </c>
      <c r="G6" s="4">
        <f t="shared" si="1"/>
        <v>0</v>
      </c>
      <c r="H6" s="4">
        <f>Settings!$B$4+SUMIFS(Capital!$D:$D,Capital!$A:$A,"&lt;="&amp;EOMONTH(DATE($B$2,3,1),0),Capital!$B:$B,"&lt;&gt;سحب من رأس المال")-SUMIFS(Capital!$D:$D,Capital!$A:$A,"&lt;="&amp;EOMONTH(DATE($B$2,3,1),0),Capital!$B:$B,"سحب من رأس المال")</f>
        <v>5000</v>
      </c>
      <c r="I6" s="5">
        <f t="shared" si="2"/>
        <v>0</v>
      </c>
    </row>
    <row r="7" spans="1:9" x14ac:dyDescent="0.25">
      <c r="A7" t="s">
        <v>67</v>
      </c>
      <c r="B7" s="4">
        <f>SUMIFS(Revenues!$G:$G,Revenues!$E:$E,"&gt;="&amp;DATE($B$2,4,1),Revenues!$E:$E,"&lt;"&amp;EDATE(DATE($B$2,4,1),1))</f>
        <v>0</v>
      </c>
      <c r="C7" s="4">
        <f>SUMIFS(Expenses!$E:$E,Expenses!$B:$B,"&gt;="&amp;DATE($B$2,4,1),Expenses!$B:$B,"&lt;"&amp;EDATE(DATE($B$2,4,1),1))</f>
        <v>0</v>
      </c>
      <c r="D7" s="4">
        <f t="shared" si="0"/>
        <v>0</v>
      </c>
      <c r="E7" s="4">
        <f>MAX(0,D7*Settings!$B$5)</f>
        <v>0</v>
      </c>
      <c r="F7" s="4">
        <f>MAX(0,D7*Settings!$B$6)</f>
        <v>0</v>
      </c>
      <c r="G7" s="4">
        <f t="shared" si="1"/>
        <v>0</v>
      </c>
      <c r="H7" s="4">
        <f>Settings!$B$4+SUMIFS(Capital!$D:$D,Capital!$A:$A,"&lt;="&amp;EOMONTH(DATE($B$2,4,1),0),Capital!$B:$B,"&lt;&gt;سحب من رأس المال")-SUMIFS(Capital!$D:$D,Capital!$A:$A,"&lt;="&amp;EOMONTH(DATE($B$2,4,1),0),Capital!$B:$B,"سحب من رأس المال")</f>
        <v>5000</v>
      </c>
      <c r="I7" s="5">
        <f t="shared" si="2"/>
        <v>0</v>
      </c>
    </row>
    <row r="8" spans="1:9" x14ac:dyDescent="0.25">
      <c r="A8" t="s">
        <v>68</v>
      </c>
      <c r="B8" s="4">
        <f>SUMIFS(Revenues!$G:$G,Revenues!$E:$E,"&gt;="&amp;DATE($B$2,5,1),Revenues!$E:$E,"&lt;"&amp;EDATE(DATE($B$2,5,1),1))</f>
        <v>0</v>
      </c>
      <c r="C8" s="4">
        <f>SUMIFS(Expenses!$E:$E,Expenses!$B:$B,"&gt;="&amp;DATE($B$2,5,1),Expenses!$B:$B,"&lt;"&amp;EDATE(DATE($B$2,5,1),1))</f>
        <v>0</v>
      </c>
      <c r="D8" s="4">
        <f t="shared" si="0"/>
        <v>0</v>
      </c>
      <c r="E8" s="4">
        <f>MAX(0,D8*Settings!$B$5)</f>
        <v>0</v>
      </c>
      <c r="F8" s="4">
        <f>MAX(0,D8*Settings!$B$6)</f>
        <v>0</v>
      </c>
      <c r="G8" s="4">
        <f t="shared" si="1"/>
        <v>0</v>
      </c>
      <c r="H8" s="4">
        <f>Settings!$B$4+SUMIFS(Capital!$D:$D,Capital!$A:$A,"&lt;="&amp;EOMONTH(DATE($B$2,5,1),0),Capital!$B:$B,"&lt;&gt;سحب من رأس المال")-SUMIFS(Capital!$D:$D,Capital!$A:$A,"&lt;="&amp;EOMONTH(DATE($B$2,5,1),0),Capital!$B:$B,"سحب من رأس المال")</f>
        <v>5000</v>
      </c>
      <c r="I8" s="5">
        <f t="shared" si="2"/>
        <v>0</v>
      </c>
    </row>
    <row r="9" spans="1:9" x14ac:dyDescent="0.25">
      <c r="A9" t="s">
        <v>69</v>
      </c>
      <c r="B9" s="4">
        <f>SUMIFS(Revenues!$G:$G,Revenues!$E:$E,"&gt;="&amp;DATE($B$2,6,1),Revenues!$E:$E,"&lt;"&amp;EDATE(DATE($B$2,6,1),1))</f>
        <v>0</v>
      </c>
      <c r="C9" s="4">
        <f>SUMIFS(Expenses!$E:$E,Expenses!$B:$B,"&gt;="&amp;DATE($B$2,6,1),Expenses!$B:$B,"&lt;"&amp;EDATE(DATE($B$2,6,1),1))</f>
        <v>0</v>
      </c>
      <c r="D9" s="4">
        <f t="shared" si="0"/>
        <v>0</v>
      </c>
      <c r="E9" s="4">
        <f>MAX(0,D9*Settings!$B$5)</f>
        <v>0</v>
      </c>
      <c r="F9" s="4">
        <f>MAX(0,D9*Settings!$B$6)</f>
        <v>0</v>
      </c>
      <c r="G9" s="4">
        <f t="shared" si="1"/>
        <v>0</v>
      </c>
      <c r="H9" s="4">
        <f>Settings!$B$4+SUMIFS(Capital!$D:$D,Capital!$A:$A,"&lt;="&amp;EOMONTH(DATE($B$2,6,1),0),Capital!$B:$B,"&lt;&gt;سحب من رأس المال")-SUMIFS(Capital!$D:$D,Capital!$A:$A,"&lt;="&amp;EOMONTH(DATE($B$2,6,1),0),Capital!$B:$B,"سحب من رأس المال")</f>
        <v>5000</v>
      </c>
      <c r="I9" s="5">
        <f t="shared" si="2"/>
        <v>0</v>
      </c>
    </row>
    <row r="10" spans="1:9" x14ac:dyDescent="0.25">
      <c r="A10" t="s">
        <v>70</v>
      </c>
      <c r="B10" s="4">
        <f>SUMIFS(Revenues!$G:$G,Revenues!$E:$E,"&gt;="&amp;DATE($B$2,7,1),Revenues!$E:$E,"&lt;"&amp;EDATE(DATE($B$2,7,1),1))</f>
        <v>0</v>
      </c>
      <c r="C10" s="4">
        <f>SUMIFS(Expenses!$E:$E,Expenses!$B:$B,"&gt;="&amp;DATE($B$2,7,1),Expenses!$B:$B,"&lt;"&amp;EDATE(DATE($B$2,7,1),1))</f>
        <v>0</v>
      </c>
      <c r="D10" s="4">
        <f t="shared" si="0"/>
        <v>0</v>
      </c>
      <c r="E10" s="4">
        <f>MAX(0,D10*Settings!$B$5)</f>
        <v>0</v>
      </c>
      <c r="F10" s="4">
        <f>MAX(0,D10*Settings!$B$6)</f>
        <v>0</v>
      </c>
      <c r="G10" s="4">
        <f t="shared" si="1"/>
        <v>0</v>
      </c>
      <c r="H10" s="4">
        <f>Settings!$B$4+SUMIFS(Capital!$D:$D,Capital!$A:$A,"&lt;="&amp;EOMONTH(DATE($B$2,7,1),0),Capital!$B:$B,"&lt;&gt;سحب من رأس المال")-SUMIFS(Capital!$D:$D,Capital!$A:$A,"&lt;="&amp;EOMONTH(DATE($B$2,7,1),0),Capital!$B:$B,"سحب من رأس المال")</f>
        <v>5000</v>
      </c>
      <c r="I10" s="5">
        <f t="shared" si="2"/>
        <v>0</v>
      </c>
    </row>
    <row r="11" spans="1:9" x14ac:dyDescent="0.25">
      <c r="A11" t="s">
        <v>71</v>
      </c>
      <c r="B11" s="4">
        <f>SUMIFS(Revenues!$G:$G,Revenues!$E:$E,"&gt;="&amp;DATE($B$2,8,1),Revenues!$E:$E,"&lt;"&amp;EDATE(DATE($B$2,8,1),1))</f>
        <v>0</v>
      </c>
      <c r="C11" s="4">
        <f>SUMIFS(Expenses!$E:$E,Expenses!$B:$B,"&gt;="&amp;DATE($B$2,8,1),Expenses!$B:$B,"&lt;"&amp;EDATE(DATE($B$2,8,1),1))</f>
        <v>0</v>
      </c>
      <c r="D11" s="4">
        <f t="shared" si="0"/>
        <v>0</v>
      </c>
      <c r="E11" s="4">
        <f>MAX(0,D11*Settings!$B$5)</f>
        <v>0</v>
      </c>
      <c r="F11" s="4">
        <f>MAX(0,D11*Settings!$B$6)</f>
        <v>0</v>
      </c>
      <c r="G11" s="4">
        <f t="shared" si="1"/>
        <v>0</v>
      </c>
      <c r="H11" s="4">
        <f>Settings!$B$4+SUMIFS(Capital!$D:$D,Capital!$A:$A,"&lt;="&amp;EOMONTH(DATE($B$2,8,1),0),Capital!$B:$B,"&lt;&gt;سحب من رأس المال")-SUMIFS(Capital!$D:$D,Capital!$A:$A,"&lt;="&amp;EOMONTH(DATE($B$2,8,1),0),Capital!$B:$B,"سحب من رأس المال")</f>
        <v>5000</v>
      </c>
      <c r="I11" s="5">
        <f t="shared" si="2"/>
        <v>0</v>
      </c>
    </row>
    <row r="12" spans="1:9" x14ac:dyDescent="0.25">
      <c r="A12" t="s">
        <v>72</v>
      </c>
      <c r="B12" s="4">
        <f>SUMIFS(Revenues!$G:$G,Revenues!$E:$E,"&gt;="&amp;DATE($B$2,9,1),Revenues!$E:$E,"&lt;"&amp;EDATE(DATE($B$2,9,1),1))</f>
        <v>0</v>
      </c>
      <c r="C12" s="4">
        <f>SUMIFS(Expenses!$E:$E,Expenses!$B:$B,"&gt;="&amp;DATE($B$2,9,1),Expenses!$B:$B,"&lt;"&amp;EDATE(DATE($B$2,9,1),1))</f>
        <v>450</v>
      </c>
      <c r="D12" s="4">
        <f t="shared" si="0"/>
        <v>-450</v>
      </c>
      <c r="E12" s="4">
        <f>MAX(0,D12*Settings!$B$5)</f>
        <v>0</v>
      </c>
      <c r="F12" s="4">
        <f>MAX(0,D12*Settings!$B$6)</f>
        <v>0</v>
      </c>
      <c r="G12" s="4">
        <f t="shared" si="1"/>
        <v>-450</v>
      </c>
      <c r="H12" s="4">
        <f>Settings!$B$4+SUMIFS(Capital!$D:$D,Capital!$A:$A,"&lt;="&amp;EOMONTH(DATE($B$2,9,1),0),Capital!$B:$B,"&lt;&gt;سحب من رأس المال")-SUMIFS(Capital!$D:$D,Capital!$A:$A,"&lt;="&amp;EOMONTH(DATE($B$2,9,1),0),Capital!$B:$B,"سحب من رأس المال")</f>
        <v>5000</v>
      </c>
      <c r="I12" s="5">
        <f t="shared" si="2"/>
        <v>0</v>
      </c>
    </row>
    <row r="13" spans="1:9" x14ac:dyDescent="0.25">
      <c r="A13" t="s">
        <v>73</v>
      </c>
      <c r="B13" s="4">
        <f>SUMIFS(Revenues!$G:$G,Revenues!$E:$E,"&gt;="&amp;DATE($B$2,10,1),Revenues!$E:$E,"&lt;"&amp;EDATE(DATE($B$2,10,1),1))</f>
        <v>0</v>
      </c>
      <c r="C13" s="4">
        <f>SUMIFS(Expenses!$E:$E,Expenses!$B:$B,"&gt;="&amp;DATE($B$2,10,1),Expenses!$B:$B,"&lt;"&amp;EDATE(DATE($B$2,10,1),1))</f>
        <v>0</v>
      </c>
      <c r="D13" s="4">
        <f t="shared" si="0"/>
        <v>0</v>
      </c>
      <c r="E13" s="4">
        <f>MAX(0,D13*Settings!$B$5)</f>
        <v>0</v>
      </c>
      <c r="F13" s="4">
        <f>MAX(0,D13*Settings!$B$6)</f>
        <v>0</v>
      </c>
      <c r="G13" s="4">
        <f t="shared" si="1"/>
        <v>0</v>
      </c>
      <c r="H13" s="4">
        <f>Settings!$B$4+SUMIFS(Capital!$D:$D,Capital!$A:$A,"&lt;="&amp;EOMONTH(DATE($B$2,10,1),0),Capital!$B:$B,"&lt;&gt;سحب من رأس المال")-SUMIFS(Capital!$D:$D,Capital!$A:$A,"&lt;="&amp;EOMONTH(DATE($B$2,10,1),0),Capital!$B:$B,"سحب من رأس المال")</f>
        <v>5000</v>
      </c>
      <c r="I13" s="5">
        <f t="shared" si="2"/>
        <v>0</v>
      </c>
    </row>
    <row r="14" spans="1:9" x14ac:dyDescent="0.25">
      <c r="A14" t="s">
        <v>74</v>
      </c>
      <c r="B14" s="4">
        <f>SUMIFS(Revenues!$G:$G,Revenues!$E:$E,"&gt;="&amp;DATE($B$2,11,1),Revenues!$E:$E,"&lt;"&amp;EDATE(DATE($B$2,11,1),1))</f>
        <v>0</v>
      </c>
      <c r="C14" s="4">
        <f>SUMIFS(Expenses!$E:$E,Expenses!$B:$B,"&gt;="&amp;DATE($B$2,11,1),Expenses!$B:$B,"&lt;"&amp;EDATE(DATE($B$2,11,1),1))</f>
        <v>0</v>
      </c>
      <c r="D14" s="4">
        <f t="shared" si="0"/>
        <v>0</v>
      </c>
      <c r="E14" s="4">
        <f>MAX(0,D14*Settings!$B$5)</f>
        <v>0</v>
      </c>
      <c r="F14" s="4">
        <f>MAX(0,D14*Settings!$B$6)</f>
        <v>0</v>
      </c>
      <c r="G14" s="4">
        <f t="shared" si="1"/>
        <v>0</v>
      </c>
      <c r="H14" s="4">
        <f>Settings!$B$4+SUMIFS(Capital!$D:$D,Capital!$A:$A,"&lt;="&amp;EOMONTH(DATE($B$2,11,1),0),Capital!$B:$B,"&lt;&gt;سحب من رأس المال")-SUMIFS(Capital!$D:$D,Capital!$A:$A,"&lt;="&amp;EOMONTH(DATE($B$2,11,1),0),Capital!$B:$B,"سحب من رأس المال")</f>
        <v>5000</v>
      </c>
      <c r="I14" s="5">
        <f t="shared" si="2"/>
        <v>0</v>
      </c>
    </row>
    <row r="15" spans="1:9" x14ac:dyDescent="0.25">
      <c r="A15" t="s">
        <v>75</v>
      </c>
      <c r="B15" s="4">
        <f>SUMIFS(Revenues!$G:$G,Revenues!$E:$E,"&gt;="&amp;DATE($B$2,12,1),Revenues!$E:$E,"&lt;"&amp;EDATE(DATE($B$2,12,1),1))</f>
        <v>0</v>
      </c>
      <c r="C15" s="4">
        <f>SUMIFS(Expenses!$E:$E,Expenses!$B:$B,"&gt;="&amp;DATE($B$2,12,1),Expenses!$B:$B,"&lt;"&amp;EDATE(DATE($B$2,12,1),1))</f>
        <v>0</v>
      </c>
      <c r="D15" s="4">
        <f t="shared" si="0"/>
        <v>0</v>
      </c>
      <c r="E15" s="4">
        <f>MAX(0,D15*Settings!$B$5)</f>
        <v>0</v>
      </c>
      <c r="F15" s="4">
        <f>MAX(0,D15*Settings!$B$6)</f>
        <v>0</v>
      </c>
      <c r="G15" s="4">
        <f t="shared" si="1"/>
        <v>0</v>
      </c>
      <c r="H15" s="4">
        <f>Settings!$B$4+SUMIFS(Capital!$D:$D,Capital!$A:$A,"&lt;="&amp;EOMONTH(DATE($B$2,12,1),0),Capital!$B:$B,"&lt;&gt;سحب من رأس المال")-SUMIFS(Capital!$D:$D,Capital!$A:$A,"&lt;="&amp;EOMONTH(DATE($B$2,12,1),0),Capital!$B:$B,"سحب من رأس المال")</f>
        <v>5000</v>
      </c>
      <c r="I15" s="5">
        <f t="shared" si="2"/>
        <v>0</v>
      </c>
    </row>
  </sheetData>
  <mergeCells count="1">
    <mergeCell ref="A1:I1"/>
  </mergeCells>
  <pageMargins left="0.25" right="0.2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Settings</vt:lpstr>
      <vt:lpstr>Revenues</vt:lpstr>
      <vt:lpstr>Expenses</vt:lpstr>
      <vt:lpstr>Capital</vt:lpstr>
      <vt:lpstr>Charity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Asmael</cp:lastModifiedBy>
  <dcterms:created xsi:type="dcterms:W3CDTF">2026-08-27T11:14:38Z</dcterms:created>
  <dcterms:modified xsi:type="dcterms:W3CDTF">2026-09-13T19:55:37Z</dcterms:modified>
</cp:coreProperties>
</file>